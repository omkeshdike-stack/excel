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kesh\Documents\DSDA\Excel\"/>
    </mc:Choice>
  </mc:AlternateContent>
  <xr:revisionPtr revIDLastSave="0" documentId="13_ncr:1_{8B792FE9-DF4D-4A90-8FAA-9F22F845909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ales_Data" sheetId="1" r:id="rId1"/>
    <sheet name="Product_Master" sheetId="2" r:id="rId2"/>
    <sheet name="Salesperson_Info" sheetId="3" r:id="rId3"/>
    <sheet name="Monthly_Targets" sheetId="4" r:id="rId4"/>
    <sheet name="Assignmen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3" i="1"/>
  <c r="D15" i="5"/>
  <c r="D39" i="5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" i="1"/>
  <c r="D38" i="5"/>
  <c r="M6" i="1"/>
  <c r="M4" i="1"/>
  <c r="M5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3" i="1"/>
  <c r="D14" i="5"/>
  <c r="D13" i="5"/>
  <c r="D12" i="5"/>
  <c r="D11" i="5"/>
  <c r="E8" i="2"/>
  <c r="E7" i="2"/>
  <c r="E6" i="2"/>
  <c r="E5" i="2"/>
  <c r="E4" i="2"/>
  <c r="E3" i="2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<sst xmlns="http://schemas.openxmlformats.org/spreadsheetml/2006/main" count="535" uniqueCount="337">
  <si>
    <t>NEXUS RETAIL — SALES TRANSACTION DATA  (Master Dataset)</t>
  </si>
  <si>
    <t>Order ID</t>
  </si>
  <si>
    <t>Salesperson</t>
  </si>
  <si>
    <t>Region</t>
  </si>
  <si>
    <t>Product</t>
  </si>
  <si>
    <t>Qty</t>
  </si>
  <si>
    <t>Unit Price (₹)</t>
  </si>
  <si>
    <t>Discount %</t>
  </si>
  <si>
    <t>Sale Date</t>
  </si>
  <si>
    <t>Month</t>
  </si>
  <si>
    <t>Total Sale (₹)</t>
  </si>
  <si>
    <t>Status</t>
  </si>
  <si>
    <t>ORD001</t>
  </si>
  <si>
    <t>Priya Sharma</t>
  </si>
  <si>
    <t>North</t>
  </si>
  <si>
    <t>Laptop</t>
  </si>
  <si>
    <t>2024-01-08</t>
  </si>
  <si>
    <t>January</t>
  </si>
  <si>
    <t>Low</t>
  </si>
  <si>
    <t>ORD002</t>
  </si>
  <si>
    <t>Rahul Mehta</t>
  </si>
  <si>
    <t>South</t>
  </si>
  <si>
    <t>Mobile</t>
  </si>
  <si>
    <t>2024-01-15</t>
  </si>
  <si>
    <t>Medium</t>
  </si>
  <si>
    <t>ORD003</t>
  </si>
  <si>
    <t>Anita Desai</t>
  </si>
  <si>
    <t>East</t>
  </si>
  <si>
    <t>Tablet</t>
  </si>
  <si>
    <t>2024-01-22</t>
  </si>
  <si>
    <t>ORD004</t>
  </si>
  <si>
    <t>Vikram Nair</t>
  </si>
  <si>
    <t>West</t>
  </si>
  <si>
    <t>2024-02-03</t>
  </si>
  <si>
    <t>February</t>
  </si>
  <si>
    <t>ORD005</t>
  </si>
  <si>
    <t>Sunita Rao</t>
  </si>
  <si>
    <t>Headphones</t>
  </si>
  <si>
    <t>2024-02-10</t>
  </si>
  <si>
    <t>High</t>
  </si>
  <si>
    <t>ORD006</t>
  </si>
  <si>
    <t>Monitor</t>
  </si>
  <si>
    <t>2024-02-18</t>
  </si>
  <si>
    <t>ORD007</t>
  </si>
  <si>
    <t>2024-03-05</t>
  </si>
  <si>
    <t>March</t>
  </si>
  <si>
    <t>ORD008</t>
  </si>
  <si>
    <t>2024-03-12</t>
  </si>
  <si>
    <t>ORD009</t>
  </si>
  <si>
    <t>2024-03-20</t>
  </si>
  <si>
    <t>ORD010</t>
  </si>
  <si>
    <t>Keyboard</t>
  </si>
  <si>
    <t>2024-04-02</t>
  </si>
  <si>
    <t>April</t>
  </si>
  <si>
    <t>ORD011</t>
  </si>
  <si>
    <t>2024-04-14</t>
  </si>
  <si>
    <t>ORD012</t>
  </si>
  <si>
    <t>2024-04-21</t>
  </si>
  <si>
    <t>ORD013</t>
  </si>
  <si>
    <t>2024-05-06</t>
  </si>
  <si>
    <t>May</t>
  </si>
  <si>
    <t>ORD014</t>
  </si>
  <si>
    <t>2024-05-13</t>
  </si>
  <si>
    <t>ORD015</t>
  </si>
  <si>
    <t>2024-05-20</t>
  </si>
  <si>
    <t>ORD016</t>
  </si>
  <si>
    <t>2024-06-04</t>
  </si>
  <si>
    <t>June</t>
  </si>
  <si>
    <t>ORD017</t>
  </si>
  <si>
    <t>2024-06-11</t>
  </si>
  <si>
    <t>ORD018</t>
  </si>
  <si>
    <t>2024-06-25</t>
  </si>
  <si>
    <t>ORD019</t>
  </si>
  <si>
    <t>2024-07-08</t>
  </si>
  <si>
    <t>July</t>
  </si>
  <si>
    <t>ORD020</t>
  </si>
  <si>
    <t>2024-07-15</t>
  </si>
  <si>
    <t>ORD021</t>
  </si>
  <si>
    <t>2024-07-22</t>
  </si>
  <si>
    <t>ORD022</t>
  </si>
  <si>
    <t>2024-08-05</t>
  </si>
  <si>
    <t>August</t>
  </si>
  <si>
    <t>ORD023</t>
  </si>
  <si>
    <t>2024-08-12</t>
  </si>
  <si>
    <t>ORD024</t>
  </si>
  <si>
    <t>2024-08-19</t>
  </si>
  <si>
    <t>ORD025</t>
  </si>
  <si>
    <t>2024-08-26</t>
  </si>
  <si>
    <t>PRODUCT MASTER TABLE  (use for VLOOKUP / XLOOKUP tasks)</t>
  </si>
  <si>
    <t>Category</t>
  </si>
  <si>
    <t>MRP (₹)</t>
  </si>
  <si>
    <t>Cost Price (₹)</t>
  </si>
  <si>
    <t>Gross Margin %</t>
  </si>
  <si>
    <t>Electronics</t>
  </si>
  <si>
    <t>Accessories</t>
  </si>
  <si>
    <t>SALESPERSON REFERENCE TABLE  (use for VLOOKUP / HLOOKUP tasks)</t>
  </si>
  <si>
    <t>Target (₹)</t>
  </si>
  <si>
    <t>Email</t>
  </si>
  <si>
    <t>Joined Year</t>
  </si>
  <si>
    <t>priya@nexus.com</t>
  </si>
  <si>
    <t>rahul@nexus.com</t>
  </si>
  <si>
    <t>anita@nexus.com</t>
  </si>
  <si>
    <t>vikram@nexus.com</t>
  </si>
  <si>
    <t>sunita@nexus.com</t>
  </si>
  <si>
    <t>MONTHLY TARGETS &amp; ACTUALS  (use for HLOOKUP task)</t>
  </si>
  <si>
    <t>Metric</t>
  </si>
  <si>
    <t>Jan</t>
  </si>
  <si>
    <t>Feb</t>
  </si>
  <si>
    <t>Mar</t>
  </si>
  <si>
    <t>Apr</t>
  </si>
  <si>
    <t>Jun</t>
  </si>
  <si>
    <t>Jul</t>
  </si>
  <si>
    <t>Aug</t>
  </si>
  <si>
    <t>Sales Target (₹)</t>
  </si>
  <si>
    <t>Actual Sales (₹)</t>
  </si>
  <si>
    <t>No. of Orders</t>
  </si>
  <si>
    <t>NEXUS RETAIL — ADVANCED EXCEL ASSIGNMENT</t>
  </si>
  <si>
    <t>Dataset: Sales_Data | Product_Master | Salesperson_Info | Monthly_Targets   ·   All answers go in Column E</t>
  </si>
  <si>
    <t>Student Name:</t>
  </si>
  <si>
    <t>Date:</t>
  </si>
  <si>
    <t>Batch:</t>
  </si>
  <si>
    <t>#</t>
  </si>
  <si>
    <t>Topic</t>
  </si>
  <si>
    <t>Task / Question</t>
  </si>
  <si>
    <t>Your Answer / Formula</t>
  </si>
  <si>
    <t>Marks</t>
  </si>
  <si>
    <t xml:space="preserve">  MODULE 1   BASIC FORMULAS — SUM, AVERAGE, COUNT, MIN, MAX</t>
  </si>
  <si>
    <t>SUM</t>
  </si>
  <si>
    <t>Calculate the total revenue from ALL 25 orders in Sales_Data.</t>
  </si>
  <si>
    <t>AVERAGE</t>
  </si>
  <si>
    <t>Find the average Unit Price across all 25 products sold.</t>
  </si>
  <si>
    <t>COUNT</t>
  </si>
  <si>
    <t>Count how many orders have a Discount % greater than 0.</t>
  </si>
  <si>
    <t>MIN/MAX</t>
  </si>
  <si>
    <t>Find the highest and lowest single Total Sale values.</t>
  </si>
  <si>
    <t>COUNTA</t>
  </si>
  <si>
    <t>Count how many unique salesperson names appear in column B of Sales_Data (hint: use COUNTA on B3:B27).</t>
  </si>
  <si>
    <t xml:space="preserve">  MODULE 2   CELL REFERENCES — RELATIVE, ABSOLUTE &amp; MIXED</t>
  </si>
  <si>
    <t>Relative ref</t>
  </si>
  <si>
    <t>In a new column (col L) of Sales_Data, calculate a 'Revised Price' as Unit Price × 1.1 using a relative reference. Write the formula for row 3.</t>
  </si>
  <si>
    <t>Absolute ref</t>
  </si>
  <si>
    <t>In a new column (col M), calculate 'Price after Tax' as Unit Price × a GST rate of 18%. Put 1.18 in cell M1 and use an absolute reference to M1 in your formula.</t>
  </si>
  <si>
    <t>Mixed ref</t>
  </si>
  <si>
    <t>Build a multiplication table in a blank area. Row holds values 1–5, column holds values 1–5. Write the formula for B2 that you can drag both right and down.</t>
  </si>
  <si>
    <t>F4 trick</t>
  </si>
  <si>
    <t>Write a VLOOKUP formula in any blank cell that locks the table range using F4. Show the formula with $ signs applied to the range.</t>
  </si>
  <si>
    <t xml:space="preserve">  MODULE 3   IF, AND, OR, NESTED IF — LOGICAL FUNCTIONS</t>
  </si>
  <si>
    <t>IF basic</t>
  </si>
  <si>
    <t>In Sales_Data column N, write a formula: if Total Sale ≥ 1,00,000 show 'Big Deal' else 'Regular'. Write the formula for row 3.</t>
  </si>
  <si>
    <t>Nested IF</t>
  </si>
  <si>
    <t>In column O, classify orders: if Total Sale ≥ 2,00,000 → 'Platinum', ≥ 1,00,000 → 'Gold', ≥ 50,000 → 'Silver', else 'Bronze'.</t>
  </si>
  <si>
    <t>IF + AND</t>
  </si>
  <si>
    <t>In column P, show 'Top Performer' if Region is 'North' AND Qty &gt; 10, else blank.</t>
  </si>
  <si>
    <t>IF + OR</t>
  </si>
  <si>
    <t>In column Q, flag 'Review' if the product is 'Laptop' OR the discount is &gt; 8%.</t>
  </si>
  <si>
    <t>IFS function</t>
  </si>
  <si>
    <t>Rewrite the Nested IF from Q2 using the IFS() function instead.</t>
  </si>
  <si>
    <t xml:space="preserve">  MODULE 4   VLOOKUP &amp; HLOOKUP — LOOKUP FUNCTIONS</t>
  </si>
  <si>
    <t>VLOOKUP basic</t>
  </si>
  <si>
    <t>Using Product_Master, write a VLOOKUP in a blank cell to find the Category for the product 'Tablet'.</t>
  </si>
  <si>
    <t>VLOOKUP dynamic</t>
  </si>
  <si>
    <t>In a new column (col R) in Sales_Data, use VLOOKUP to pull the Cost Price for each product from Product_Master.</t>
  </si>
  <si>
    <t>VLOOKUP + IFERROR</t>
  </si>
  <si>
    <t>Wrap the above formula in IFERROR to display 'Unknown' if the product is not found.</t>
  </si>
  <si>
    <t>VLOOKUP cross-sheet</t>
  </si>
  <si>
    <t>Using Salesperson_Info, write a VLOOKUP to find the Sales Target for 'Anita Desai'.</t>
  </si>
  <si>
    <t>HLOOKUP</t>
  </si>
  <si>
    <t>From Monthly_Targets, use HLOOKUP to find the Actual Sales for 'Jun'.</t>
  </si>
  <si>
    <t>HLOOKUP row 2</t>
  </si>
  <si>
    <t>Use HLOOKUP to find the Sales Target for 'Apr' from Monthly_Targets.</t>
  </si>
  <si>
    <t>VLOOKUP limitation</t>
  </si>
  <si>
    <t>Explain in your own words why VLOOKUP cannot return the Salesperson name when you only know their email address. What would you use instead?</t>
  </si>
  <si>
    <t xml:space="preserve">  MODULE 5   INDEX &amp; MATCH — ADVANCED LOOKUP</t>
  </si>
  <si>
    <t>MATCH basic</t>
  </si>
  <si>
    <t>Find the row position of 'Vikram Nair' in Salesperson_Info column A using MATCH.</t>
  </si>
  <si>
    <t>INDEX basic</t>
  </si>
  <si>
    <t>Use INDEX to return the value in row 2, column 3 of the Product_Master data range (A3:E8).</t>
  </si>
  <si>
    <t>INDEX+MATCH</t>
  </si>
  <si>
    <t>Use INDEX+MATCH to find the Email of 'Sunita Rao' from Salesperson_Info. (This is what VLOOKUP cannot do when the return column is to the LEFT of your lookup column.)</t>
  </si>
  <si>
    <t>Left lookup</t>
  </si>
  <si>
    <t>From Product_Master, find the Product name whose Cost Price is ₹10,500. Use INDEX+MATCH (VLOOKUP cannot do this).</t>
  </si>
  <si>
    <t>Two-way lookup</t>
  </si>
  <si>
    <t>Use INDEX+MATCH+MATCH to find the value at the intersection of row 'Actual Sales (₹)' and column 'Mar' in Monthly_Targets.</t>
  </si>
  <si>
    <t xml:space="preserve">  MODULE 6   SUMIF, COUNTIF, AVERAGEIF — CONDITIONAL AGGREGATION</t>
  </si>
  <si>
    <t>SUMIF</t>
  </si>
  <si>
    <t>Calculate total revenue from the 'North' region.</t>
  </si>
  <si>
    <t>SUMIF product</t>
  </si>
  <si>
    <t>Calculate total revenue from Laptop sales only.</t>
  </si>
  <si>
    <t>COUNTIF</t>
  </si>
  <si>
    <t>Count how many orders were placed in the 'South' region.</t>
  </si>
  <si>
    <t>COUNTIF &gt;</t>
  </si>
  <si>
    <t>Count orders where Qty is greater than 8.</t>
  </si>
  <si>
    <t>AVERAGEIF</t>
  </si>
  <si>
    <t>Find the average Total Sale for orders in the 'East' region.</t>
  </si>
  <si>
    <t>SUMIFS</t>
  </si>
  <si>
    <t>Calculate total revenue for 'Priya Sharma' in the 'North' region.</t>
  </si>
  <si>
    <t>COUNTIFS</t>
  </si>
  <si>
    <t>Count orders where Product is 'Laptop' AND Discount &gt; 0.</t>
  </si>
  <si>
    <t>SUMPRODUCT</t>
  </si>
  <si>
    <t>Use SUMPRODUCT to find total revenue where Region='West' AND Qty&gt;5.</t>
  </si>
  <si>
    <t xml:space="preserve">  MODULE 7   TEXT FUNCTIONS — DATA CLEANING</t>
  </si>
  <si>
    <t>LEFT/RIGHT</t>
  </si>
  <si>
    <t>From 'ORD001' in Sales_Data A3, extract only the numeric part '001' using RIGHT.</t>
  </si>
  <si>
    <t>MID</t>
  </si>
  <si>
    <t>From the email 'priya@nexus.com' in Salesperson_Info D3, extract the domain 'nexus.com' using MID and FIND.</t>
  </si>
  <si>
    <t>CONCATENATE</t>
  </si>
  <si>
    <t>Combine Salesperson name and Region (from Salesperson_Info) as 'Priya Sharma — North'.</t>
  </si>
  <si>
    <t>UPPER/LOWER</t>
  </si>
  <si>
    <t>Write formulas to display the product name 'Laptop' in ALL CAPS and all lowercase.</t>
  </si>
  <si>
    <t>TRIM</t>
  </si>
  <si>
    <t>The name '  Rahul   Mehta  ' has extra spaces. Write TRIM to clean it.</t>
  </si>
  <si>
    <t>LEN</t>
  </si>
  <si>
    <t>Count how many characters are in the Order ID 'ORD001'.</t>
  </si>
  <si>
    <t>TEXT</t>
  </si>
  <si>
    <t>Format the number 165000 as currency with commas: ₹1,65,000. Use TEXT function.</t>
  </si>
  <si>
    <t>SUBSTITUTE</t>
  </si>
  <si>
    <t>Replace 'nexus.com' with 'nexusretail.in' in Sunita Rao's email address.</t>
  </si>
  <si>
    <t xml:space="preserve">  MODULE 8   DATE &amp; TIME FUNCTIONS</t>
  </si>
  <si>
    <t>TODAY/NOW</t>
  </si>
  <si>
    <t>Write a formula that shows today's date and current date-time.</t>
  </si>
  <si>
    <t>YEAR/MONTH</t>
  </si>
  <si>
    <t>From the Sale Date '2024-01-08' in Sales_Data H3, extract the Year and Month number.</t>
  </si>
  <si>
    <t>DAY/WEEKDAY</t>
  </si>
  <si>
    <t>Extract the day number and the weekday name (e.g., 'Monday') from H3.</t>
  </si>
  <si>
    <t>DATEDIF</t>
  </si>
  <si>
    <t>Calculate how many days have passed between the first order date (2024-01-08) and the last (2024-08-26).</t>
  </si>
  <si>
    <t>EDATE</t>
  </si>
  <si>
    <t>An employee joined on 2019-03-15. What date is exactly 5 years later? Use EDATE.</t>
  </si>
  <si>
    <t>NETWORKDAYS</t>
  </si>
  <si>
    <t>How many working days are between Jan 1 2024 and Mar 31 2024 (excluding weekends)?</t>
  </si>
  <si>
    <t xml:space="preserve">  MODULE 9   CONDITIONAL FORMATTING — VISUAL ANALYSIS</t>
  </si>
  <si>
    <t>Highlight rule</t>
  </si>
  <si>
    <t>In Sales_Data, apply conditional formatting to column J (Total Sale) to highlight all cells &gt; ₹1,00,000 in green fill.</t>
  </si>
  <si>
    <t>Color scale</t>
  </si>
  <si>
    <t>Apply a 3-color scale (red-yellow-green) to the Qty column (E3:E27) so high qty shows green and low shows red.</t>
  </si>
  <si>
    <t>Icon set</t>
  </si>
  <si>
    <t>Apply the 3-arrow icon set to the Discount % column (G3:G27).</t>
  </si>
  <si>
    <t>Formula rule</t>
  </si>
  <si>
    <t>Highlight entire rows in Sales_Data where the product is 'Laptop' using a formula-based rule.</t>
  </si>
  <si>
    <t>Duplicate values</t>
  </si>
  <si>
    <t>Highlight duplicate Order IDs in column A using the built-in Duplicate Values rule.</t>
  </si>
  <si>
    <t>Data bars</t>
  </si>
  <si>
    <t>Apply data bars to the Total Sale column (J3:J27) to visually compare order sizes.</t>
  </si>
  <si>
    <t xml:space="preserve">  MODULE 10   DATA VALIDATION &amp; NAMED RANGES</t>
  </si>
  <si>
    <t>Dropdown list</t>
  </si>
  <si>
    <t>In a new sheet or blank area, create a dropdown in a cell allowing only these regions: North, South, East, West.</t>
  </si>
  <si>
    <t>Whole number</t>
  </si>
  <si>
    <t>Create a validation rule that only allows Qty values between 1 and 100.</t>
  </si>
  <si>
    <t>Custom formula</t>
  </si>
  <si>
    <t>Create a validation that rejects any discount &gt; 20% using a custom formula.</t>
  </si>
  <si>
    <t>Named range</t>
  </si>
  <si>
    <t>Create a named range called 'SalesData' for the range Sales_Data!A2:J27. Then use it in a SUMIF.</t>
  </si>
  <si>
    <t>Named range formula</t>
  </si>
  <si>
    <t>After creating the named range, write a SUMIF using the name instead of the raw range.</t>
  </si>
  <si>
    <t xml:space="preserve">  MODULE 11   PIVOT TABLES — DATA SUMMARISATION</t>
  </si>
  <si>
    <t>Basic pivot</t>
  </si>
  <si>
    <t>Create a Pivot Table from Sales_Data showing total revenue (Sum of Total Sale) by Region. Insert in a new sheet.</t>
  </si>
  <si>
    <t>Two-way pivot</t>
  </si>
  <si>
    <t>Create a Pivot Table showing total revenue by Region (rows) × Product (columns).</t>
  </si>
  <si>
    <t>Salesperson pivot</t>
  </si>
  <si>
    <t>Create a Pivot Table showing each Salesperson's total revenue and order count.</t>
  </si>
  <si>
    <t>Month pivot</t>
  </si>
  <si>
    <t>Create a Pivot Table showing total revenue by Month.</t>
  </si>
  <si>
    <t>Slicer</t>
  </si>
  <si>
    <t>Add a Slicer for 'Region' to your first pivot table and filter to show only North and South.</t>
  </si>
  <si>
    <t>Calculated field</t>
  </si>
  <si>
    <t>Add a calculated field 'Profit Est.' = Total Sale × 0.22 to any pivot table.</t>
  </si>
  <si>
    <t>Pivot chart</t>
  </si>
  <si>
    <t>Create a bar chart from the Region × Revenue pivot table.</t>
  </si>
  <si>
    <t xml:space="preserve">  MODULE 12   CHARTS &amp; DATA VISUALISATION</t>
  </si>
  <si>
    <t>Bar chart</t>
  </si>
  <si>
    <t>Create a bar chart showing Total Sale per Salesperson using Sales_Data.</t>
  </si>
  <si>
    <t>Line chart</t>
  </si>
  <si>
    <t>Using Monthly_Targets data, create a line chart comparing Sales Target vs Actual Sales across all 8 months.</t>
  </si>
  <si>
    <t>Pie chart</t>
  </si>
  <si>
    <t>Create a pie chart showing the share of total orders by Region.</t>
  </si>
  <si>
    <t>Combo chart</t>
  </si>
  <si>
    <t>Create a combo chart with Actual Sales as bars and Sales Target as a line on the same chart.</t>
  </si>
  <si>
    <t>Chart format</t>
  </si>
  <si>
    <t>Add data labels, remove gridlines, and give your bar chart a descriptive title.</t>
  </si>
  <si>
    <t>Scatter plot</t>
  </si>
  <si>
    <t>Create a scatter plot with Qty on X-axis and Total Sale on Y-axis to see if higher qty = higher sale.</t>
  </si>
  <si>
    <t xml:space="preserve">  MODULE 13   WHAT-IF ANALYSIS — GOAL SEEK &amp; SCENARIO MANAGER</t>
  </si>
  <si>
    <t>Goal Seek</t>
  </si>
  <si>
    <t>Anita Desai's total sales are currently below target. Use Goal Seek to find what Total Sale value her next order needs to hit ₹3,00,000 total for East region.</t>
  </si>
  <si>
    <t>1-var Data Table</t>
  </si>
  <si>
    <t>Build a 1-variable data table showing how total profit changes as Gross Margin % varies from 20% to 40% in steps of 5%.</t>
  </si>
  <si>
    <t>2-var Data Table</t>
  </si>
  <si>
    <t>Build a 2-variable data table: rows = Qty (1–5), columns = Unit Price (10k–50k in steps of 10k), values = Total Revenue.</t>
  </si>
  <si>
    <t>Scenario Manager</t>
  </si>
  <si>
    <t>Create 3 scenarios: Best Case (all discounts=0), Base Case (current), Worst Case (all discounts=15%). Show the impact on total revenue.</t>
  </si>
  <si>
    <t xml:space="preserve">  MODULE 14   XLOOKUP &amp; DYNAMIC ARRAY FUNCTIONS (EXCEL 365)</t>
  </si>
  <si>
    <t>XLOOKUP basic</t>
  </si>
  <si>
    <t>Use XLOOKUP to find the Gross Margin % of 'Mobile' from Product_Master.</t>
  </si>
  <si>
    <t>XLOOKUP vs VLOOKUP</t>
  </si>
  <si>
    <t>Use XLOOKUP to find the Product name for Cost Price = 1800. (VLOOKUP would fail here — XLOOKUP works both ways.)</t>
  </si>
  <si>
    <t>FILTER</t>
  </si>
  <si>
    <t>Use FILTER to extract all orders from the 'West' region from Sales_Data.</t>
  </si>
  <si>
    <t>SORT</t>
  </si>
  <si>
    <t>Use SORT to sort the Sales_Data Total Sale column in descending order.</t>
  </si>
  <si>
    <t>UNIQUE</t>
  </si>
  <si>
    <t>Use UNIQUE to get a list of all distinct product names from Sales_Data column D.</t>
  </si>
  <si>
    <t>FILTER + multiple</t>
  </si>
  <si>
    <t>Use FILTER to show orders where Region='North' AND Qty&gt;8.</t>
  </si>
  <si>
    <t xml:space="preserve">  MODULE 15   CAPSTONE — BUILD THE SALES DASHBOARD</t>
  </si>
  <si>
    <t>Dashboard sheet</t>
  </si>
  <si>
    <t>Create a new sheet called 'Dashboard'. Build a summary section with metric cards showing: Total Revenue, Total Orders, Average Order Value, Best Region (highest revenue).</t>
  </si>
  <si>
    <t>Revenue by region</t>
  </si>
  <si>
    <t>Add a bar chart to the dashboard showing revenue by region (pull from your pivot table).</t>
  </si>
  <si>
    <t>Monthly trend</t>
  </si>
  <si>
    <t>Add a line chart showing monthly actual sales from Monthly_Targets.</t>
  </si>
  <si>
    <t>Slicer dashboard</t>
  </si>
  <si>
    <t>Link a Region slicer to both your revenue pivot and monthly trend so filtering one updates both.</t>
  </si>
  <si>
    <t>Top 3 products</t>
  </si>
  <si>
    <t>Use LARGE and INDEX+MATCH (or XLOOKUP) to show the top 3 products by total revenue on the dashboard.</t>
  </si>
  <si>
    <t>Protect sheet</t>
  </si>
  <si>
    <t>Protect the Dashboard sheet so students cannot accidentally overwrite formulas. Allow only unlocked cells to be edited.</t>
  </si>
  <si>
    <t xml:space="preserve">  SCORING GUIDE</t>
  </si>
  <si>
    <t>Modules 1–3</t>
  </si>
  <si>
    <t>Basic formulas, references, logical functions</t>
  </si>
  <si>
    <t>Modules 4–5</t>
  </si>
  <si>
    <t>VLOOKUP, HLOOKUP, INDEX+MATCH</t>
  </si>
  <si>
    <t>Module 6</t>
  </si>
  <si>
    <t>SUMIF / COUNTIF family + SUMPRODUCT</t>
  </si>
  <si>
    <t>Modules 7–8</t>
  </si>
  <si>
    <t>Text functions + Date functions</t>
  </si>
  <si>
    <t>Modules 9–10</t>
  </si>
  <si>
    <t>Conditional formatting + Data validation</t>
  </si>
  <si>
    <t>Module 11–12</t>
  </si>
  <si>
    <t>Pivot tables + Charts</t>
  </si>
  <si>
    <t>Modules 13–15</t>
  </si>
  <si>
    <t>What-if + Dynamic arrays + Dashboard</t>
  </si>
  <si>
    <t>TOTAL</t>
  </si>
  <si>
    <t>sales person info</t>
  </si>
  <si>
    <t>"=F3*$M$1"</t>
  </si>
  <si>
    <t>"=F3*1.1"</t>
  </si>
  <si>
    <t>"=IF(J3&gt;=100000,"Big Deaal","Reguler")"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</si>
</sst>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1A5276"/>
      <name val="Arial"/>
    </font>
    <font>
      <b/>
      <sz val="12"/>
      <color rgb="FFFFFFFF"/>
      <name val="Arial"/>
    </font>
    <font>
      <b/>
      <sz val="16"/>
      <color rgb="FFFFFFFF"/>
      <name val="Arial"/>
    </font>
    <font>
      <sz val="10"/>
      <color rgb="FFAAAAAA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11"/>
      <color rgb="FF1A3A5C"/>
      <name val="Arial"/>
    </font>
    <font>
      <b/>
      <sz val="9"/>
      <color rgb="FF1A3A5C"/>
      <name val="Arial"/>
    </font>
    <font>
      <b/>
      <sz val="11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8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E3A4A"/>
      </patternFill>
    </fill>
    <fill>
      <patternFill patternType="solid">
        <fgColor rgb="FFFFF9C4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0F0"/>
      </patternFill>
    </fill>
    <fill>
      <patternFill patternType="solid">
        <fgColor rgb="FFFFF2CC"/>
      </patternFill>
    </fill>
    <fill>
      <patternFill patternType="solid">
        <fgColor rgb="FFF0F0F0"/>
      </patternFill>
    </fill>
  </fills>
  <borders count="7">
    <border>
      <left/>
      <right/>
      <top/>
      <bottom/>
      <diagonal/>
    </border>
    <border>
      <left style="medium">
        <color rgb="FF9E9E9E"/>
      </left>
      <right style="thin">
        <color rgb="FFBFBFBF"/>
      </right>
      <top style="medium">
        <color rgb="FF9E9E9E"/>
      </top>
      <bottom style="medium">
        <color rgb="FF9E9E9E"/>
      </bottom>
      <diagonal/>
    </border>
    <border>
      <left style="thin">
        <color rgb="FFBFBFBF"/>
      </left>
      <right style="thin">
        <color rgb="FFBFBFBF"/>
      </right>
      <top style="medium">
        <color rgb="FF9E9E9E"/>
      </top>
      <bottom style="medium">
        <color rgb="FF9E9E9E"/>
      </bottom>
      <diagonal/>
    </border>
    <border>
      <left style="thin">
        <color rgb="FFBFBFBF"/>
      </left>
      <right style="medium">
        <color rgb="FF9E9E9E"/>
      </right>
      <top style="medium">
        <color rgb="FF9E9E9E"/>
      </top>
      <bottom style="medium">
        <color rgb="FF9E9E9E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9E9E9E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8" borderId="5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0" fillId="13" borderId="4" xfId="0" applyFill="1" applyBorder="1"/>
    <xf numFmtId="0" fontId="3" fillId="13" borderId="4" xfId="0" applyFont="1" applyFill="1" applyBorder="1" applyAlignment="1">
      <alignment horizontal="left" vertical="center" wrapText="1"/>
    </xf>
    <xf numFmtId="0" fontId="0" fillId="4" borderId="4" xfId="0" applyFill="1" applyBorder="1"/>
    <xf numFmtId="0" fontId="0" fillId="5" borderId="4" xfId="0" applyFill="1" applyBorder="1"/>
    <xf numFmtId="0" fontId="8" fillId="5" borderId="4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10" fillId="10" borderId="0" xfId="0" applyFont="1" applyFill="1" applyAlignment="1">
      <alignment horizontal="left" vertical="center"/>
    </xf>
    <xf numFmtId="0" fontId="7" fillId="7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27"/>
  <sheetViews>
    <sheetView workbookViewId="0">
      <pane ySplit="2" topLeftCell="A3" activePane="bottomLeft" state="frozen"/>
      <selection pane="bottomLeft" activeCell="N33" sqref="N33"/>
    </sheetView>
  </sheetViews>
  <sheetFormatPr defaultRowHeight="14.4" x14ac:dyDescent="0.3"/>
  <cols>
    <col min="1" max="1" width="10" customWidth="1"/>
    <col min="2" max="2" width="20" customWidth="1"/>
    <col min="3" max="3" width="14" customWidth="1"/>
    <col min="4" max="4" width="13" customWidth="1"/>
    <col min="5" max="5" width="11" customWidth="1"/>
    <col min="6" max="7" width="12" customWidth="1"/>
    <col min="8" max="8" width="14" customWidth="1"/>
    <col min="9" max="9" width="16" customWidth="1"/>
    <col min="10" max="10" width="14" customWidth="1"/>
    <col min="11" max="11" width="12" customWidth="1"/>
    <col min="14" max="14" width="23.6640625" customWidth="1"/>
    <col min="15" max="15" width="27.6640625" customWidth="1"/>
  </cols>
  <sheetData>
    <row r="1" spans="1:15" ht="36" customHeight="1" x14ac:dyDescent="0.3">
      <c r="A1" s="27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>
        <v>1.1000000000000001</v>
      </c>
      <c r="M1">
        <v>1.18</v>
      </c>
    </row>
    <row r="2" spans="1:15" ht="26.4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O2" t="s">
        <v>333</v>
      </c>
    </row>
    <row r="3" spans="1:15" x14ac:dyDescent="0.3">
      <c r="A3" s="4" t="s">
        <v>12</v>
      </c>
      <c r="B3" s="5" t="s">
        <v>13</v>
      </c>
      <c r="C3" s="4" t="s">
        <v>14</v>
      </c>
      <c r="D3" s="5" t="s">
        <v>15</v>
      </c>
      <c r="E3" s="4">
        <v>3</v>
      </c>
      <c r="F3" s="4">
        <v>55000</v>
      </c>
      <c r="G3" s="4">
        <v>5</v>
      </c>
      <c r="H3" s="5" t="s">
        <v>16</v>
      </c>
      <c r="I3" s="4" t="s">
        <v>17</v>
      </c>
      <c r="J3" s="6">
        <f t="shared" ref="J3:J27" si="0">E3*F3*(1-G3/100)</f>
        <v>156750</v>
      </c>
      <c r="K3" s="4" t="s">
        <v>18</v>
      </c>
      <c r="L3">
        <f>Sales_Data!F3*1.1</f>
        <v>60500.000000000007</v>
      </c>
      <c r="M3">
        <f>F3*$M$1</f>
        <v>64900</v>
      </c>
      <c r="N3" t="str">
        <f>IF(Sales_Data!J3&gt;=100000,"Big Deal","Reguler")</f>
        <v>Big Deal</v>
      </c>
      <c r="O3" t="str">
        <f>_xlfn.XLOOKUP(Sales_Data!B3,Salesperson_Info!$A$3:$A$7,Salesperson_Info!$D$3:$D$7,"not found")</f>
        <v>priya@nexus.com</v>
      </c>
    </row>
    <row r="4" spans="1:15" x14ac:dyDescent="0.3">
      <c r="A4" s="7" t="s">
        <v>19</v>
      </c>
      <c r="B4" s="8" t="s">
        <v>20</v>
      </c>
      <c r="C4" s="7" t="s">
        <v>21</v>
      </c>
      <c r="D4" s="8" t="s">
        <v>22</v>
      </c>
      <c r="E4" s="7">
        <v>7</v>
      </c>
      <c r="F4" s="7">
        <v>18000</v>
      </c>
      <c r="G4" s="7">
        <v>0</v>
      </c>
      <c r="H4" s="8" t="s">
        <v>23</v>
      </c>
      <c r="I4" s="7" t="s">
        <v>17</v>
      </c>
      <c r="J4" s="6">
        <f t="shared" si="0"/>
        <v>126000</v>
      </c>
      <c r="K4" s="7" t="s">
        <v>24</v>
      </c>
      <c r="L4">
        <f>Sales_Data!F4*1.1</f>
        <v>19800</v>
      </c>
      <c r="M4">
        <f t="shared" ref="M4:M27" si="1">F4*$M$1</f>
        <v>21240</v>
      </c>
      <c r="N4" t="str">
        <f>IF(Sales_Data!J4&gt;=100000,"Big Deal","Reguler")</f>
        <v>Big Deal</v>
      </c>
      <c r="O4" t="str">
        <f>_xlfn.XLOOKUP(Sales_Data!B4,Salesperson_Info!$A$3:$A$7,Salesperson_Info!$D$3:$D$7,"not found")</f>
        <v>rahul@nexus.com</v>
      </c>
    </row>
    <row r="5" spans="1:15" x14ac:dyDescent="0.3">
      <c r="A5" s="4" t="s">
        <v>25</v>
      </c>
      <c r="B5" s="5" t="s">
        <v>26</v>
      </c>
      <c r="C5" s="4" t="s">
        <v>27</v>
      </c>
      <c r="D5" s="5" t="s">
        <v>28</v>
      </c>
      <c r="E5" s="4">
        <v>4</v>
      </c>
      <c r="F5" s="4">
        <v>28000</v>
      </c>
      <c r="G5" s="4">
        <v>8</v>
      </c>
      <c r="H5" s="5" t="s">
        <v>29</v>
      </c>
      <c r="I5" s="4" t="s">
        <v>17</v>
      </c>
      <c r="J5" s="6">
        <f t="shared" si="0"/>
        <v>103040</v>
      </c>
      <c r="K5" s="4" t="s">
        <v>18</v>
      </c>
      <c r="L5">
        <f>Sales_Data!F5*1.1</f>
        <v>30800.000000000004</v>
      </c>
      <c r="M5">
        <f t="shared" si="1"/>
        <v>33040</v>
      </c>
      <c r="N5" t="str">
        <f>IF(Sales_Data!J5&gt;=100000,"Big Deal","Reguler")</f>
        <v>Big Deal</v>
      </c>
      <c r="O5" t="str">
        <f>_xlfn.XLOOKUP(Sales_Data!B5,Salesperson_Info!$A$3:$A$7,Salesperson_Info!$D$3:$D$7,"not found")</f>
        <v>anita@nexus.com</v>
      </c>
    </row>
    <row r="6" spans="1:15" x14ac:dyDescent="0.3">
      <c r="A6" s="7" t="s">
        <v>30</v>
      </c>
      <c r="B6" s="8" t="s">
        <v>31</v>
      </c>
      <c r="C6" s="7" t="s">
        <v>32</v>
      </c>
      <c r="D6" s="8" t="s">
        <v>15</v>
      </c>
      <c r="E6" s="7">
        <v>2</v>
      </c>
      <c r="F6" s="7">
        <v>55000</v>
      </c>
      <c r="G6" s="7">
        <v>10</v>
      </c>
      <c r="H6" s="8" t="s">
        <v>33</v>
      </c>
      <c r="I6" s="7" t="s">
        <v>34</v>
      </c>
      <c r="J6" s="6">
        <f t="shared" si="0"/>
        <v>99000</v>
      </c>
      <c r="K6" s="7" t="s">
        <v>18</v>
      </c>
      <c r="L6">
        <f>Sales_Data!F6*1.1</f>
        <v>60500.000000000007</v>
      </c>
      <c r="M6">
        <f t="shared" si="1"/>
        <v>64900</v>
      </c>
      <c r="N6" t="str">
        <f>IF(Sales_Data!J6&gt;=100000,"Big Deal","Reguler")</f>
        <v>Reguler</v>
      </c>
      <c r="O6" t="str">
        <f>_xlfn.XLOOKUP(Sales_Data!B6,Salesperson_Info!$A$3:$A$7,Salesperson_Info!$D$3:$D$7,"not found")</f>
        <v>vikram@nexus.com</v>
      </c>
    </row>
    <row r="7" spans="1:15" x14ac:dyDescent="0.3">
      <c r="A7" s="4" t="s">
        <v>35</v>
      </c>
      <c r="B7" s="5" t="s">
        <v>36</v>
      </c>
      <c r="C7" s="4" t="s">
        <v>14</v>
      </c>
      <c r="D7" s="5" t="s">
        <v>37</v>
      </c>
      <c r="E7" s="4">
        <v>12</v>
      </c>
      <c r="F7" s="4">
        <v>3500</v>
      </c>
      <c r="G7" s="4">
        <v>0</v>
      </c>
      <c r="H7" s="5" t="s">
        <v>38</v>
      </c>
      <c r="I7" s="4" t="s">
        <v>34</v>
      </c>
      <c r="J7" s="6">
        <f t="shared" si="0"/>
        <v>42000</v>
      </c>
      <c r="K7" s="4" t="s">
        <v>39</v>
      </c>
      <c r="L7">
        <f>Sales_Data!F7*1.1</f>
        <v>3850.0000000000005</v>
      </c>
      <c r="M7">
        <f t="shared" si="1"/>
        <v>4130</v>
      </c>
      <c r="N7" t="str">
        <f>IF(Sales_Data!J7&gt;=100000,"Big Deal","Reguler")</f>
        <v>Reguler</v>
      </c>
      <c r="O7" t="str">
        <f>_xlfn.XLOOKUP(Sales_Data!B7,Salesperson_Info!$A$3:$A$7,Salesperson_Info!$D$3:$D$7,"not found")</f>
        <v>sunita@nexus.com</v>
      </c>
    </row>
    <row r="8" spans="1:15" x14ac:dyDescent="0.3">
      <c r="A8" s="7" t="s">
        <v>40</v>
      </c>
      <c r="B8" s="8" t="s">
        <v>13</v>
      </c>
      <c r="C8" s="7" t="s">
        <v>21</v>
      </c>
      <c r="D8" s="8" t="s">
        <v>41</v>
      </c>
      <c r="E8" s="7">
        <v>5</v>
      </c>
      <c r="F8" s="7">
        <v>14000</v>
      </c>
      <c r="G8" s="7">
        <v>5</v>
      </c>
      <c r="H8" s="8" t="s">
        <v>42</v>
      </c>
      <c r="I8" s="7" t="s">
        <v>34</v>
      </c>
      <c r="J8" s="6">
        <f t="shared" si="0"/>
        <v>66500</v>
      </c>
      <c r="K8" s="7" t="s">
        <v>24</v>
      </c>
      <c r="L8">
        <f>Sales_Data!F8*1.1</f>
        <v>15400.000000000002</v>
      </c>
      <c r="M8">
        <f t="shared" si="1"/>
        <v>16520</v>
      </c>
      <c r="N8" t="str">
        <f>IF(Sales_Data!J8&gt;=100000,"Big Deal","Reguler")</f>
        <v>Reguler</v>
      </c>
      <c r="O8" t="str">
        <f>_xlfn.XLOOKUP(Sales_Data!B8,Salesperson_Info!$A$3:$A$7,Salesperson_Info!$D$3:$D$7,"not found")</f>
        <v>priya@nexus.com</v>
      </c>
    </row>
    <row r="9" spans="1:15" x14ac:dyDescent="0.3">
      <c r="A9" s="4" t="s">
        <v>43</v>
      </c>
      <c r="B9" s="5" t="s">
        <v>20</v>
      </c>
      <c r="C9" s="4" t="s">
        <v>27</v>
      </c>
      <c r="D9" s="5" t="s">
        <v>15</v>
      </c>
      <c r="E9" s="4">
        <v>1</v>
      </c>
      <c r="F9" s="4">
        <v>55000</v>
      </c>
      <c r="G9" s="4">
        <v>0</v>
      </c>
      <c r="H9" s="5" t="s">
        <v>44</v>
      </c>
      <c r="I9" s="4" t="s">
        <v>45</v>
      </c>
      <c r="J9" s="6">
        <f t="shared" si="0"/>
        <v>55000</v>
      </c>
      <c r="K9" s="4" t="s">
        <v>18</v>
      </c>
      <c r="L9">
        <f>Sales_Data!F9*1.1</f>
        <v>60500.000000000007</v>
      </c>
      <c r="M9">
        <f t="shared" si="1"/>
        <v>64900</v>
      </c>
      <c r="N9" t="str">
        <f>IF(Sales_Data!J9&gt;=100000,"Big Deal","Reguler")</f>
        <v>Reguler</v>
      </c>
      <c r="O9" t="str">
        <f>_xlfn.XLOOKUP(Sales_Data!B9,Salesperson_Info!$A$3:$A$7,Salesperson_Info!$D$3:$D$7,"not found")</f>
        <v>rahul@nexus.com</v>
      </c>
    </row>
    <row r="10" spans="1:15" x14ac:dyDescent="0.3">
      <c r="A10" s="7" t="s">
        <v>46</v>
      </c>
      <c r="B10" s="8" t="s">
        <v>26</v>
      </c>
      <c r="C10" s="7" t="s">
        <v>32</v>
      </c>
      <c r="D10" s="8" t="s">
        <v>22</v>
      </c>
      <c r="E10" s="7">
        <v>9</v>
      </c>
      <c r="F10" s="7">
        <v>18000</v>
      </c>
      <c r="G10" s="7">
        <v>12</v>
      </c>
      <c r="H10" s="8" t="s">
        <v>47</v>
      </c>
      <c r="I10" s="7" t="s">
        <v>45</v>
      </c>
      <c r="J10" s="6">
        <f t="shared" si="0"/>
        <v>142560</v>
      </c>
      <c r="K10" s="7" t="s">
        <v>24</v>
      </c>
      <c r="L10">
        <f>Sales_Data!F10*1.1</f>
        <v>19800</v>
      </c>
      <c r="M10">
        <f t="shared" si="1"/>
        <v>21240</v>
      </c>
      <c r="N10" t="str">
        <f>IF(Sales_Data!J10&gt;=100000,"Big Deal","Reguler")</f>
        <v>Big Deal</v>
      </c>
      <c r="O10" t="str">
        <f>_xlfn.XLOOKUP(Sales_Data!B10,Salesperson_Info!$A$3:$A$7,Salesperson_Info!$D$3:$D$7,"not found")</f>
        <v>anita@nexus.com</v>
      </c>
    </row>
    <row r="11" spans="1:15" x14ac:dyDescent="0.3">
      <c r="A11" s="4" t="s">
        <v>48</v>
      </c>
      <c r="B11" s="5" t="s">
        <v>31</v>
      </c>
      <c r="C11" s="4" t="s">
        <v>14</v>
      </c>
      <c r="D11" s="5" t="s">
        <v>28</v>
      </c>
      <c r="E11" s="4">
        <v>6</v>
      </c>
      <c r="F11" s="4">
        <v>28000</v>
      </c>
      <c r="G11" s="4">
        <v>0</v>
      </c>
      <c r="H11" s="5" t="s">
        <v>49</v>
      </c>
      <c r="I11" s="4" t="s">
        <v>45</v>
      </c>
      <c r="J11" s="6">
        <f t="shared" si="0"/>
        <v>168000</v>
      </c>
      <c r="K11" s="4" t="s">
        <v>24</v>
      </c>
      <c r="L11">
        <f>Sales_Data!F11*1.1</f>
        <v>30800.000000000004</v>
      </c>
      <c r="M11">
        <f t="shared" si="1"/>
        <v>33040</v>
      </c>
      <c r="N11" t="str">
        <f>IF(Sales_Data!J11&gt;=100000,"Big Deal","Reguler")</f>
        <v>Big Deal</v>
      </c>
      <c r="O11" t="str">
        <f>_xlfn.XLOOKUP(Sales_Data!B11,Salesperson_Info!$A$3:$A$7,Salesperson_Info!$D$3:$D$7,"not found")</f>
        <v>vikram@nexus.com</v>
      </c>
    </row>
    <row r="12" spans="1:15" x14ac:dyDescent="0.3">
      <c r="A12" s="7" t="s">
        <v>50</v>
      </c>
      <c r="B12" s="8" t="s">
        <v>36</v>
      </c>
      <c r="C12" s="7" t="s">
        <v>21</v>
      </c>
      <c r="D12" s="8" t="s">
        <v>51</v>
      </c>
      <c r="E12" s="7">
        <v>20</v>
      </c>
      <c r="F12" s="7">
        <v>1200</v>
      </c>
      <c r="G12" s="7">
        <v>0</v>
      </c>
      <c r="H12" s="8" t="s">
        <v>52</v>
      </c>
      <c r="I12" s="7" t="s">
        <v>53</v>
      </c>
      <c r="J12" s="6">
        <f t="shared" si="0"/>
        <v>24000</v>
      </c>
      <c r="K12" s="7" t="s">
        <v>39</v>
      </c>
      <c r="L12">
        <f>Sales_Data!F12*1.1</f>
        <v>1320</v>
      </c>
      <c r="M12">
        <f t="shared" si="1"/>
        <v>1416</v>
      </c>
      <c r="N12" t="str">
        <f>IF(Sales_Data!J12&gt;=100000,"Big Deal","Reguler")</f>
        <v>Reguler</v>
      </c>
      <c r="O12" t="str">
        <f>_xlfn.XLOOKUP(Sales_Data!B12,Salesperson_Info!$A$3:$A$7,Salesperson_Info!$D$3:$D$7,"not found")</f>
        <v>sunita@nexus.com</v>
      </c>
    </row>
    <row r="13" spans="1:15" x14ac:dyDescent="0.3">
      <c r="A13" s="4" t="s">
        <v>54</v>
      </c>
      <c r="B13" s="5" t="s">
        <v>13</v>
      </c>
      <c r="C13" s="4" t="s">
        <v>27</v>
      </c>
      <c r="D13" s="5" t="s">
        <v>15</v>
      </c>
      <c r="E13" s="4">
        <v>4</v>
      </c>
      <c r="F13" s="4">
        <v>55000</v>
      </c>
      <c r="G13" s="4">
        <v>7</v>
      </c>
      <c r="H13" s="5" t="s">
        <v>55</v>
      </c>
      <c r="I13" s="4" t="s">
        <v>53</v>
      </c>
      <c r="J13" s="6">
        <f t="shared" si="0"/>
        <v>204600</v>
      </c>
      <c r="K13" s="4" t="s">
        <v>18</v>
      </c>
      <c r="L13">
        <f>Sales_Data!F13*1.1</f>
        <v>60500.000000000007</v>
      </c>
      <c r="M13">
        <f t="shared" si="1"/>
        <v>64900</v>
      </c>
      <c r="N13" t="str">
        <f>IF(Sales_Data!J13&gt;=100000,"Big Deal","Reguler")</f>
        <v>Big Deal</v>
      </c>
      <c r="O13" t="str">
        <f>_xlfn.XLOOKUP(Sales_Data!B13,Salesperson_Info!$A$3:$A$7,Salesperson_Info!$D$3:$D$7,"not found")</f>
        <v>priya@nexus.com</v>
      </c>
    </row>
    <row r="14" spans="1:15" x14ac:dyDescent="0.3">
      <c r="A14" s="7" t="s">
        <v>56</v>
      </c>
      <c r="B14" s="8" t="s">
        <v>20</v>
      </c>
      <c r="C14" s="7" t="s">
        <v>32</v>
      </c>
      <c r="D14" s="8" t="s">
        <v>41</v>
      </c>
      <c r="E14" s="7">
        <v>3</v>
      </c>
      <c r="F14" s="7">
        <v>14000</v>
      </c>
      <c r="G14" s="7">
        <v>5</v>
      </c>
      <c r="H14" s="8" t="s">
        <v>57</v>
      </c>
      <c r="I14" s="7" t="s">
        <v>53</v>
      </c>
      <c r="J14" s="6">
        <f t="shared" si="0"/>
        <v>39900</v>
      </c>
      <c r="K14" s="7" t="s">
        <v>18</v>
      </c>
      <c r="L14">
        <f>Sales_Data!F14*1.1</f>
        <v>15400.000000000002</v>
      </c>
      <c r="M14">
        <f t="shared" si="1"/>
        <v>16520</v>
      </c>
      <c r="N14" t="str">
        <f>IF(Sales_Data!J14&gt;=100000,"Big Deal","Reguler")</f>
        <v>Reguler</v>
      </c>
      <c r="O14" t="str">
        <f>_xlfn.XLOOKUP(Sales_Data!B14,Salesperson_Info!$A$3:$A$7,Salesperson_Info!$D$3:$D$7,"not found")</f>
        <v>rahul@nexus.com</v>
      </c>
    </row>
    <row r="15" spans="1:15" x14ac:dyDescent="0.3">
      <c r="A15" s="4" t="s">
        <v>58</v>
      </c>
      <c r="B15" s="5" t="s">
        <v>26</v>
      </c>
      <c r="C15" s="4" t="s">
        <v>14</v>
      </c>
      <c r="D15" s="5" t="s">
        <v>22</v>
      </c>
      <c r="E15" s="4">
        <v>8</v>
      </c>
      <c r="F15" s="4">
        <v>18000</v>
      </c>
      <c r="G15" s="4">
        <v>0</v>
      </c>
      <c r="H15" s="5" t="s">
        <v>59</v>
      </c>
      <c r="I15" s="4" t="s">
        <v>60</v>
      </c>
      <c r="J15" s="6">
        <f t="shared" si="0"/>
        <v>144000</v>
      </c>
      <c r="K15" s="4" t="s">
        <v>24</v>
      </c>
      <c r="L15">
        <f>Sales_Data!F15*1.1</f>
        <v>19800</v>
      </c>
      <c r="M15">
        <f t="shared" si="1"/>
        <v>21240</v>
      </c>
      <c r="N15" t="str">
        <f>IF(Sales_Data!J15&gt;=100000,"Big Deal","Reguler")</f>
        <v>Big Deal</v>
      </c>
      <c r="O15" t="str">
        <f>_xlfn.XLOOKUP(Sales_Data!B15,Salesperson_Info!$A$3:$A$7,Salesperson_Info!$D$3:$D$7,"not found")</f>
        <v>anita@nexus.com</v>
      </c>
    </row>
    <row r="16" spans="1:15" x14ac:dyDescent="0.3">
      <c r="A16" s="7" t="s">
        <v>61</v>
      </c>
      <c r="B16" s="8" t="s">
        <v>31</v>
      </c>
      <c r="C16" s="7" t="s">
        <v>21</v>
      </c>
      <c r="D16" s="8" t="s">
        <v>37</v>
      </c>
      <c r="E16" s="7">
        <v>15</v>
      </c>
      <c r="F16" s="7">
        <v>3500</v>
      </c>
      <c r="G16" s="7">
        <v>0</v>
      </c>
      <c r="H16" s="8" t="s">
        <v>62</v>
      </c>
      <c r="I16" s="7" t="s">
        <v>60</v>
      </c>
      <c r="J16" s="6">
        <f t="shared" si="0"/>
        <v>52500</v>
      </c>
      <c r="K16" s="7" t="s">
        <v>39</v>
      </c>
      <c r="L16">
        <f>Sales_Data!F16*1.1</f>
        <v>3850.0000000000005</v>
      </c>
      <c r="M16">
        <f t="shared" si="1"/>
        <v>4130</v>
      </c>
      <c r="N16" t="str">
        <f>IF(Sales_Data!J16&gt;=100000,"Big Deal","Reguler")</f>
        <v>Reguler</v>
      </c>
      <c r="O16" t="str">
        <f>_xlfn.XLOOKUP(Sales_Data!B16,Salesperson_Info!$A$3:$A$7,Salesperson_Info!$D$3:$D$7,"not found")</f>
        <v>vikram@nexus.com</v>
      </c>
    </row>
    <row r="17" spans="1:15" x14ac:dyDescent="0.3">
      <c r="A17" s="4" t="s">
        <v>63</v>
      </c>
      <c r="B17" s="5" t="s">
        <v>36</v>
      </c>
      <c r="C17" s="4" t="s">
        <v>27</v>
      </c>
      <c r="D17" s="5" t="s">
        <v>15</v>
      </c>
      <c r="E17" s="4">
        <v>2</v>
      </c>
      <c r="F17" s="4">
        <v>55000</v>
      </c>
      <c r="G17" s="4">
        <v>10</v>
      </c>
      <c r="H17" s="5" t="s">
        <v>64</v>
      </c>
      <c r="I17" s="4" t="s">
        <v>60</v>
      </c>
      <c r="J17" s="6">
        <f t="shared" si="0"/>
        <v>99000</v>
      </c>
      <c r="K17" s="4" t="s">
        <v>18</v>
      </c>
      <c r="L17">
        <f>Sales_Data!F17*1.1</f>
        <v>60500.000000000007</v>
      </c>
      <c r="M17">
        <f t="shared" si="1"/>
        <v>64900</v>
      </c>
      <c r="N17" t="str">
        <f>IF(Sales_Data!J17&gt;=100000,"Big Deal","Reguler")</f>
        <v>Reguler</v>
      </c>
      <c r="O17" t="str">
        <f>_xlfn.XLOOKUP(Sales_Data!B17,Salesperson_Info!$A$3:$A$7,Salesperson_Info!$D$3:$D$7,"not found")</f>
        <v>sunita@nexus.com</v>
      </c>
    </row>
    <row r="18" spans="1:15" x14ac:dyDescent="0.3">
      <c r="A18" s="7" t="s">
        <v>65</v>
      </c>
      <c r="B18" s="8" t="s">
        <v>13</v>
      </c>
      <c r="C18" s="7" t="s">
        <v>32</v>
      </c>
      <c r="D18" s="8" t="s">
        <v>51</v>
      </c>
      <c r="E18" s="7">
        <v>30</v>
      </c>
      <c r="F18" s="7">
        <v>1200</v>
      </c>
      <c r="G18" s="7">
        <v>0</v>
      </c>
      <c r="H18" s="8" t="s">
        <v>66</v>
      </c>
      <c r="I18" s="7" t="s">
        <v>67</v>
      </c>
      <c r="J18" s="6">
        <f t="shared" si="0"/>
        <v>36000</v>
      </c>
      <c r="K18" s="7" t="s">
        <v>39</v>
      </c>
      <c r="L18">
        <f>Sales_Data!F18*1.1</f>
        <v>1320</v>
      </c>
      <c r="M18">
        <f t="shared" si="1"/>
        <v>1416</v>
      </c>
      <c r="N18" t="str">
        <f>IF(Sales_Data!J18&gt;=100000,"Big Deal","Reguler")</f>
        <v>Reguler</v>
      </c>
      <c r="O18" t="str">
        <f>_xlfn.XLOOKUP(Sales_Data!B18,Salesperson_Info!$A$3:$A$7,Salesperson_Info!$D$3:$D$7,"not found")</f>
        <v>priya@nexus.com</v>
      </c>
    </row>
    <row r="19" spans="1:15" x14ac:dyDescent="0.3">
      <c r="A19" s="4" t="s">
        <v>68</v>
      </c>
      <c r="B19" s="5" t="s">
        <v>20</v>
      </c>
      <c r="C19" s="4" t="s">
        <v>14</v>
      </c>
      <c r="D19" s="5" t="s">
        <v>28</v>
      </c>
      <c r="E19" s="4">
        <v>5</v>
      </c>
      <c r="F19" s="4">
        <v>28000</v>
      </c>
      <c r="G19" s="4">
        <v>0</v>
      </c>
      <c r="H19" s="5" t="s">
        <v>69</v>
      </c>
      <c r="I19" s="4" t="s">
        <v>67</v>
      </c>
      <c r="J19" s="6">
        <f t="shared" si="0"/>
        <v>140000</v>
      </c>
      <c r="K19" s="4" t="s">
        <v>24</v>
      </c>
      <c r="L19">
        <f>Sales_Data!F19*1.1</f>
        <v>30800.000000000004</v>
      </c>
      <c r="M19">
        <f t="shared" si="1"/>
        <v>33040</v>
      </c>
      <c r="N19" t="str">
        <f>IF(Sales_Data!J19&gt;=100000,"Big Deal","Reguler")</f>
        <v>Big Deal</v>
      </c>
      <c r="O19" t="str">
        <f>_xlfn.XLOOKUP(Sales_Data!B19,Salesperson_Info!$A$3:$A$7,Salesperson_Info!$D$3:$D$7,"not found")</f>
        <v>rahul@nexus.com</v>
      </c>
    </row>
    <row r="20" spans="1:15" x14ac:dyDescent="0.3">
      <c r="A20" s="7" t="s">
        <v>70</v>
      </c>
      <c r="B20" s="8" t="s">
        <v>26</v>
      </c>
      <c r="C20" s="7" t="s">
        <v>21</v>
      </c>
      <c r="D20" s="8" t="s">
        <v>15</v>
      </c>
      <c r="E20" s="7">
        <v>3</v>
      </c>
      <c r="F20" s="7">
        <v>55000</v>
      </c>
      <c r="G20" s="7">
        <v>5</v>
      </c>
      <c r="H20" s="8" t="s">
        <v>71</v>
      </c>
      <c r="I20" s="7" t="s">
        <v>67</v>
      </c>
      <c r="J20" s="6">
        <f t="shared" si="0"/>
        <v>156750</v>
      </c>
      <c r="K20" s="7" t="s">
        <v>18</v>
      </c>
      <c r="L20">
        <f>Sales_Data!F20*1.1</f>
        <v>60500.000000000007</v>
      </c>
      <c r="M20">
        <f t="shared" si="1"/>
        <v>64900</v>
      </c>
      <c r="N20" t="str">
        <f>IF(Sales_Data!J20&gt;=100000,"Big Deal","Reguler")</f>
        <v>Big Deal</v>
      </c>
      <c r="O20" t="str">
        <f>_xlfn.XLOOKUP(Sales_Data!B20,Salesperson_Info!$A$3:$A$7,Salesperson_Info!$D$3:$D$7,"not found")</f>
        <v>anita@nexus.com</v>
      </c>
    </row>
    <row r="21" spans="1:15" x14ac:dyDescent="0.3">
      <c r="A21" s="4" t="s">
        <v>72</v>
      </c>
      <c r="B21" s="5" t="s">
        <v>31</v>
      </c>
      <c r="C21" s="4" t="s">
        <v>27</v>
      </c>
      <c r="D21" s="5" t="s">
        <v>22</v>
      </c>
      <c r="E21" s="4">
        <v>6</v>
      </c>
      <c r="F21" s="4">
        <v>18000</v>
      </c>
      <c r="G21" s="4">
        <v>8</v>
      </c>
      <c r="H21" s="5" t="s">
        <v>73</v>
      </c>
      <c r="I21" s="4" t="s">
        <v>74</v>
      </c>
      <c r="J21" s="6">
        <f t="shared" si="0"/>
        <v>99360</v>
      </c>
      <c r="K21" s="4" t="s">
        <v>24</v>
      </c>
      <c r="L21">
        <f>Sales_Data!F21*1.1</f>
        <v>19800</v>
      </c>
      <c r="M21">
        <f t="shared" si="1"/>
        <v>21240</v>
      </c>
      <c r="N21" t="str">
        <f>IF(Sales_Data!J21&gt;=100000,"Big Deal","Reguler")</f>
        <v>Reguler</v>
      </c>
      <c r="O21" t="str">
        <f>_xlfn.XLOOKUP(Sales_Data!B21,Salesperson_Info!$A$3:$A$7,Salesperson_Info!$D$3:$D$7,"not found")</f>
        <v>vikram@nexus.com</v>
      </c>
    </row>
    <row r="22" spans="1:15" x14ac:dyDescent="0.3">
      <c r="A22" s="7" t="s">
        <v>75</v>
      </c>
      <c r="B22" s="8" t="s">
        <v>36</v>
      </c>
      <c r="C22" s="7" t="s">
        <v>32</v>
      </c>
      <c r="D22" s="8" t="s">
        <v>41</v>
      </c>
      <c r="E22" s="7">
        <v>4</v>
      </c>
      <c r="F22" s="7">
        <v>14000</v>
      </c>
      <c r="G22" s="7">
        <v>0</v>
      </c>
      <c r="H22" s="8" t="s">
        <v>76</v>
      </c>
      <c r="I22" s="7" t="s">
        <v>74</v>
      </c>
      <c r="J22" s="6">
        <f t="shared" si="0"/>
        <v>56000</v>
      </c>
      <c r="K22" s="7" t="s">
        <v>18</v>
      </c>
      <c r="L22">
        <f>Sales_Data!F22*1.1</f>
        <v>15400.000000000002</v>
      </c>
      <c r="M22">
        <f t="shared" si="1"/>
        <v>16520</v>
      </c>
      <c r="N22" t="str">
        <f>IF(Sales_Data!J22&gt;=100000,"Big Deal","Reguler")</f>
        <v>Reguler</v>
      </c>
      <c r="O22" t="str">
        <f>_xlfn.XLOOKUP(Sales_Data!B22,Salesperson_Info!$A$3:$A$7,Salesperson_Info!$D$3:$D$7,"not found")</f>
        <v>sunita@nexus.com</v>
      </c>
    </row>
    <row r="23" spans="1:15" x14ac:dyDescent="0.3">
      <c r="A23" s="4" t="s">
        <v>77</v>
      </c>
      <c r="B23" s="5" t="s">
        <v>13</v>
      </c>
      <c r="C23" s="4" t="s">
        <v>14</v>
      </c>
      <c r="D23" s="5" t="s">
        <v>37</v>
      </c>
      <c r="E23" s="4">
        <v>18</v>
      </c>
      <c r="F23" s="4">
        <v>3500</v>
      </c>
      <c r="G23" s="4">
        <v>0</v>
      </c>
      <c r="H23" s="5" t="s">
        <v>78</v>
      </c>
      <c r="I23" s="4" t="s">
        <v>74</v>
      </c>
      <c r="J23" s="6">
        <f t="shared" si="0"/>
        <v>63000</v>
      </c>
      <c r="K23" s="4" t="s">
        <v>39</v>
      </c>
      <c r="L23">
        <f>Sales_Data!F23*1.1</f>
        <v>3850.0000000000005</v>
      </c>
      <c r="M23">
        <f t="shared" si="1"/>
        <v>4130</v>
      </c>
      <c r="N23" t="str">
        <f>IF(Sales_Data!J23&gt;=100000,"Big Deal","Reguler")</f>
        <v>Reguler</v>
      </c>
      <c r="O23" t="str">
        <f>_xlfn.XLOOKUP(Sales_Data!B23,Salesperson_Info!$A$3:$A$7,Salesperson_Info!$D$3:$D$7,"not found")</f>
        <v>priya@nexus.com</v>
      </c>
    </row>
    <row r="24" spans="1:15" x14ac:dyDescent="0.3">
      <c r="A24" s="7" t="s">
        <v>79</v>
      </c>
      <c r="B24" s="8" t="s">
        <v>20</v>
      </c>
      <c r="C24" s="7" t="s">
        <v>21</v>
      </c>
      <c r="D24" s="8" t="s">
        <v>15</v>
      </c>
      <c r="E24" s="7">
        <v>2</v>
      </c>
      <c r="F24" s="7">
        <v>55000</v>
      </c>
      <c r="G24" s="7">
        <v>5</v>
      </c>
      <c r="H24" s="8" t="s">
        <v>80</v>
      </c>
      <c r="I24" s="7" t="s">
        <v>81</v>
      </c>
      <c r="J24" s="6">
        <f t="shared" si="0"/>
        <v>104500</v>
      </c>
      <c r="K24" s="7" t="s">
        <v>18</v>
      </c>
      <c r="L24">
        <f>Sales_Data!F24*1.1</f>
        <v>60500.000000000007</v>
      </c>
      <c r="M24">
        <f t="shared" si="1"/>
        <v>64900</v>
      </c>
      <c r="N24" t="str">
        <f>IF(Sales_Data!J24&gt;=100000,"Big Deal","Reguler")</f>
        <v>Big Deal</v>
      </c>
      <c r="O24" t="str">
        <f>_xlfn.XLOOKUP(Sales_Data!B24,Salesperson_Info!$A$3:$A$7,Salesperson_Info!$D$3:$D$7,"not found")</f>
        <v>rahul@nexus.com</v>
      </c>
    </row>
    <row r="25" spans="1:15" x14ac:dyDescent="0.3">
      <c r="A25" s="4" t="s">
        <v>82</v>
      </c>
      <c r="B25" s="5" t="s">
        <v>26</v>
      </c>
      <c r="C25" s="4" t="s">
        <v>32</v>
      </c>
      <c r="D25" s="5" t="s">
        <v>51</v>
      </c>
      <c r="E25" s="4">
        <v>25</v>
      </c>
      <c r="F25" s="4">
        <v>1200</v>
      </c>
      <c r="G25" s="4">
        <v>0</v>
      </c>
      <c r="H25" s="5" t="s">
        <v>83</v>
      </c>
      <c r="I25" s="4" t="s">
        <v>81</v>
      </c>
      <c r="J25" s="6">
        <f t="shared" si="0"/>
        <v>30000</v>
      </c>
      <c r="K25" s="4" t="s">
        <v>39</v>
      </c>
      <c r="L25">
        <f>Sales_Data!F25*1.1</f>
        <v>1320</v>
      </c>
      <c r="M25">
        <f t="shared" si="1"/>
        <v>1416</v>
      </c>
      <c r="N25" t="str">
        <f>IF(Sales_Data!J25&gt;=100000,"Big Deal","Reguler")</f>
        <v>Reguler</v>
      </c>
      <c r="O25" t="str">
        <f>_xlfn.XLOOKUP(Sales_Data!B25,Salesperson_Info!$A$3:$A$7,Salesperson_Info!$D$3:$D$7,"not found")</f>
        <v>anita@nexus.com</v>
      </c>
    </row>
    <row r="26" spans="1:15" x14ac:dyDescent="0.3">
      <c r="A26" s="7" t="s">
        <v>84</v>
      </c>
      <c r="B26" s="8" t="s">
        <v>31</v>
      </c>
      <c r="C26" s="7" t="s">
        <v>27</v>
      </c>
      <c r="D26" s="8" t="s">
        <v>28</v>
      </c>
      <c r="E26" s="7">
        <v>7</v>
      </c>
      <c r="F26" s="7">
        <v>28000</v>
      </c>
      <c r="G26" s="7">
        <v>10</v>
      </c>
      <c r="H26" s="8" t="s">
        <v>85</v>
      </c>
      <c r="I26" s="7" t="s">
        <v>81</v>
      </c>
      <c r="J26" s="6">
        <f t="shared" si="0"/>
        <v>176400</v>
      </c>
      <c r="K26" s="7" t="s">
        <v>24</v>
      </c>
      <c r="L26">
        <f>Sales_Data!F26*1.1</f>
        <v>30800.000000000004</v>
      </c>
      <c r="M26">
        <f t="shared" si="1"/>
        <v>33040</v>
      </c>
      <c r="N26" t="str">
        <f>IF(Sales_Data!J26&gt;=100000,"Big Deal","Reguler")</f>
        <v>Big Deal</v>
      </c>
      <c r="O26" t="str">
        <f>_xlfn.XLOOKUP(Sales_Data!B26,Salesperson_Info!$A$3:$A$7,Salesperson_Info!$D$3:$D$7,"not found")</f>
        <v>vikram@nexus.com</v>
      </c>
    </row>
    <row r="27" spans="1:15" x14ac:dyDescent="0.3">
      <c r="A27" s="4" t="s">
        <v>86</v>
      </c>
      <c r="B27" s="5" t="s">
        <v>36</v>
      </c>
      <c r="C27" s="4" t="s">
        <v>14</v>
      </c>
      <c r="D27" s="5" t="s">
        <v>22</v>
      </c>
      <c r="E27" s="4">
        <v>11</v>
      </c>
      <c r="F27" s="4">
        <v>18000</v>
      </c>
      <c r="G27" s="4">
        <v>0</v>
      </c>
      <c r="H27" s="5" t="s">
        <v>87</v>
      </c>
      <c r="I27" s="4" t="s">
        <v>81</v>
      </c>
      <c r="J27" s="6">
        <f t="shared" si="0"/>
        <v>198000</v>
      </c>
      <c r="K27" s="4" t="s">
        <v>39</v>
      </c>
      <c r="L27">
        <f>Sales_Data!F27*1.1</f>
        <v>19800</v>
      </c>
      <c r="M27">
        <f t="shared" si="1"/>
        <v>21240</v>
      </c>
      <c r="N27" t="str">
        <f>IF(Sales_Data!J27&gt;=100000,"Big Deal","Reguler")</f>
        <v>Big Deal</v>
      </c>
      <c r="O27" t="str">
        <f>_xlfn.XLOOKUP(Sales_Data!B27,Salesperson_Info!$A$3:$A$7,Salesperson_Info!$D$3:$D$7,"not found")</f>
        <v>sunita@nexus.com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8A"/>
  </sheetPr>
  <dimension ref="A1:E8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6" customWidth="1"/>
    <col min="2" max="2" width="18" customWidth="1"/>
    <col min="3" max="4" width="14" customWidth="1"/>
    <col min="5" max="5" width="16" customWidth="1"/>
  </cols>
  <sheetData>
    <row r="1" spans="1:5" x14ac:dyDescent="0.3">
      <c r="A1" s="28" t="s">
        <v>88</v>
      </c>
      <c r="B1" s="23"/>
      <c r="C1" s="23"/>
      <c r="D1" s="23"/>
      <c r="E1" s="23"/>
    </row>
    <row r="2" spans="1:5" x14ac:dyDescent="0.3">
      <c r="A2" s="9" t="s">
        <v>4</v>
      </c>
      <c r="B2" s="9" t="s">
        <v>89</v>
      </c>
      <c r="C2" s="9" t="s">
        <v>90</v>
      </c>
      <c r="D2" s="9" t="s">
        <v>91</v>
      </c>
      <c r="E2" s="9" t="s">
        <v>92</v>
      </c>
    </row>
    <row r="3" spans="1:5" x14ac:dyDescent="0.3">
      <c r="A3" s="4" t="s">
        <v>15</v>
      </c>
      <c r="B3" s="4" t="s">
        <v>93</v>
      </c>
      <c r="C3" s="4">
        <v>55000</v>
      </c>
      <c r="D3" s="4">
        <v>32000</v>
      </c>
      <c r="E3" s="4">
        <f t="shared" ref="E3:E8" si="0">((C3-D3)/C3)*100</f>
        <v>41.818181818181813</v>
      </c>
    </row>
    <row r="4" spans="1:5" x14ac:dyDescent="0.3">
      <c r="A4" s="7" t="s">
        <v>22</v>
      </c>
      <c r="B4" s="7" t="s">
        <v>93</v>
      </c>
      <c r="C4" s="7">
        <v>18000</v>
      </c>
      <c r="D4" s="7">
        <v>10500</v>
      </c>
      <c r="E4" s="7">
        <f t="shared" si="0"/>
        <v>41.666666666666671</v>
      </c>
    </row>
    <row r="5" spans="1:5" x14ac:dyDescent="0.3">
      <c r="A5" s="4" t="s">
        <v>28</v>
      </c>
      <c r="B5" s="4" t="s">
        <v>93</v>
      </c>
      <c r="C5" s="4">
        <v>28000</v>
      </c>
      <c r="D5" s="4">
        <v>17000</v>
      </c>
      <c r="E5" s="4">
        <f t="shared" si="0"/>
        <v>39.285714285714285</v>
      </c>
    </row>
    <row r="6" spans="1:5" x14ac:dyDescent="0.3">
      <c r="A6" s="7" t="s">
        <v>41</v>
      </c>
      <c r="B6" s="7" t="s">
        <v>93</v>
      </c>
      <c r="C6" s="7">
        <v>14000</v>
      </c>
      <c r="D6" s="7">
        <v>8200</v>
      </c>
      <c r="E6" s="7">
        <f t="shared" si="0"/>
        <v>41.428571428571431</v>
      </c>
    </row>
    <row r="7" spans="1:5" x14ac:dyDescent="0.3">
      <c r="A7" s="4" t="s">
        <v>37</v>
      </c>
      <c r="B7" s="4" t="s">
        <v>94</v>
      </c>
      <c r="C7" s="4">
        <v>3500</v>
      </c>
      <c r="D7" s="4">
        <v>1800</v>
      </c>
      <c r="E7" s="4">
        <f t="shared" si="0"/>
        <v>48.571428571428569</v>
      </c>
    </row>
    <row r="8" spans="1:5" x14ac:dyDescent="0.3">
      <c r="A8" s="7" t="s">
        <v>51</v>
      </c>
      <c r="B8" s="7" t="s">
        <v>94</v>
      </c>
      <c r="C8" s="7">
        <v>1200</v>
      </c>
      <c r="D8" s="7">
        <v>600</v>
      </c>
      <c r="E8" s="7">
        <f t="shared" si="0"/>
        <v>50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8A"/>
  </sheetPr>
  <dimension ref="A1:E7"/>
  <sheetViews>
    <sheetView workbookViewId="0">
      <pane ySplit="2" topLeftCell="A3" activePane="bottomLeft" state="frozen"/>
      <selection pane="bottomLeft" sqref="A1:E1"/>
    </sheetView>
  </sheetViews>
  <sheetFormatPr defaultRowHeight="14.4" x14ac:dyDescent="0.3"/>
  <cols>
    <col min="1" max="1" width="18" customWidth="1"/>
    <col min="2" max="2" width="12" customWidth="1"/>
    <col min="3" max="3" width="14" customWidth="1"/>
    <col min="4" max="4" width="18" customWidth="1"/>
    <col min="5" max="5" width="16" customWidth="1"/>
  </cols>
  <sheetData>
    <row r="1" spans="1:5" x14ac:dyDescent="0.3">
      <c r="A1" s="28" t="s">
        <v>95</v>
      </c>
      <c r="B1" s="23"/>
      <c r="C1" s="23"/>
      <c r="D1" s="23"/>
      <c r="E1" s="23"/>
    </row>
    <row r="2" spans="1:5" x14ac:dyDescent="0.3">
      <c r="A2" s="9" t="s">
        <v>2</v>
      </c>
      <c r="B2" s="9" t="s">
        <v>3</v>
      </c>
      <c r="C2" s="9" t="s">
        <v>96</v>
      </c>
      <c r="D2" s="9" t="s">
        <v>97</v>
      </c>
      <c r="E2" s="9" t="s">
        <v>98</v>
      </c>
    </row>
    <row r="3" spans="1:5" x14ac:dyDescent="0.3">
      <c r="A3" s="4" t="s">
        <v>13</v>
      </c>
      <c r="B3" s="4" t="s">
        <v>14</v>
      </c>
      <c r="C3" s="4">
        <v>600000</v>
      </c>
      <c r="D3" s="4" t="s">
        <v>99</v>
      </c>
      <c r="E3" s="4">
        <v>2019</v>
      </c>
    </row>
    <row r="4" spans="1:5" x14ac:dyDescent="0.3">
      <c r="A4" s="7" t="s">
        <v>20</v>
      </c>
      <c r="B4" s="7" t="s">
        <v>21</v>
      </c>
      <c r="C4" s="7">
        <v>550000</v>
      </c>
      <c r="D4" s="7" t="s">
        <v>100</v>
      </c>
      <c r="E4" s="7">
        <v>2020</v>
      </c>
    </row>
    <row r="5" spans="1:5" x14ac:dyDescent="0.3">
      <c r="A5" s="4" t="s">
        <v>26</v>
      </c>
      <c r="B5" s="4" t="s">
        <v>27</v>
      </c>
      <c r="C5" s="4">
        <v>500000</v>
      </c>
      <c r="D5" s="4" t="s">
        <v>101</v>
      </c>
      <c r="E5" s="4">
        <v>2018</v>
      </c>
    </row>
    <row r="6" spans="1:5" x14ac:dyDescent="0.3">
      <c r="A6" s="7" t="s">
        <v>31</v>
      </c>
      <c r="B6" s="7" t="s">
        <v>32</v>
      </c>
      <c r="C6" s="7">
        <v>580000</v>
      </c>
      <c r="D6" s="7" t="s">
        <v>102</v>
      </c>
      <c r="E6" s="7">
        <v>2021</v>
      </c>
    </row>
    <row r="7" spans="1:5" x14ac:dyDescent="0.3">
      <c r="A7" s="4" t="s">
        <v>36</v>
      </c>
      <c r="B7" s="4" t="s">
        <v>14</v>
      </c>
      <c r="C7" s="4">
        <v>620000</v>
      </c>
      <c r="D7" s="4" t="s">
        <v>103</v>
      </c>
      <c r="E7" s="4">
        <v>2017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8A"/>
  </sheetPr>
  <dimension ref="A1:I5"/>
  <sheetViews>
    <sheetView workbookViewId="0">
      <pane xSplit="1" ySplit="2" topLeftCell="B3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22" customWidth="1"/>
    <col min="2" max="9" width="13" customWidth="1"/>
  </cols>
  <sheetData>
    <row r="1" spans="1:9" x14ac:dyDescent="0.3">
      <c r="A1" s="28" t="s">
        <v>104</v>
      </c>
      <c r="B1" s="23"/>
      <c r="C1" s="23"/>
      <c r="D1" s="23"/>
      <c r="E1" s="23"/>
      <c r="F1" s="23"/>
      <c r="G1" s="23"/>
      <c r="H1" s="23"/>
      <c r="I1" s="23"/>
    </row>
    <row r="2" spans="1:9" x14ac:dyDescent="0.3">
      <c r="A2" s="9" t="s">
        <v>105</v>
      </c>
      <c r="B2" s="9" t="s">
        <v>106</v>
      </c>
      <c r="C2" s="9" t="s">
        <v>107</v>
      </c>
      <c r="D2" s="9" t="s">
        <v>108</v>
      </c>
      <c r="E2" s="9" t="s">
        <v>109</v>
      </c>
      <c r="F2" s="9" t="s">
        <v>60</v>
      </c>
      <c r="G2" s="9" t="s">
        <v>110</v>
      </c>
      <c r="H2" s="9" t="s">
        <v>111</v>
      </c>
      <c r="I2" s="9" t="s">
        <v>112</v>
      </c>
    </row>
    <row r="3" spans="1:9" x14ac:dyDescent="0.3">
      <c r="A3" s="4" t="s">
        <v>113</v>
      </c>
      <c r="B3" s="4">
        <v>500000</v>
      </c>
      <c r="C3" s="4">
        <v>480000</v>
      </c>
      <c r="D3" s="4">
        <v>520000</v>
      </c>
      <c r="E3" s="4">
        <v>490000</v>
      </c>
      <c r="F3" s="4">
        <v>510000</v>
      </c>
      <c r="G3" s="4">
        <v>530000</v>
      </c>
      <c r="H3" s="4">
        <v>515000</v>
      </c>
      <c r="I3" s="4">
        <v>525000</v>
      </c>
    </row>
    <row r="4" spans="1:9" x14ac:dyDescent="0.3">
      <c r="A4" s="7" t="s">
        <v>114</v>
      </c>
      <c r="B4" s="7">
        <v>462000</v>
      </c>
      <c r="C4" s="7">
        <v>503000</v>
      </c>
      <c r="D4" s="7">
        <v>487000</v>
      </c>
      <c r="E4" s="7">
        <v>512000</v>
      </c>
      <c r="F4" s="7">
        <v>478000</v>
      </c>
      <c r="G4" s="7">
        <v>541000</v>
      </c>
      <c r="H4" s="7">
        <v>496000</v>
      </c>
      <c r="I4" s="7">
        <v>533000</v>
      </c>
    </row>
    <row r="5" spans="1:9" x14ac:dyDescent="0.3">
      <c r="A5" s="4" t="s">
        <v>115</v>
      </c>
      <c r="B5" s="4">
        <v>8</v>
      </c>
      <c r="C5" s="4">
        <v>9</v>
      </c>
      <c r="D5" s="4">
        <v>7</v>
      </c>
      <c r="E5" s="4">
        <v>8</v>
      </c>
      <c r="F5" s="4">
        <v>7</v>
      </c>
      <c r="G5" s="4">
        <v>9</v>
      </c>
      <c r="H5" s="4">
        <v>8</v>
      </c>
      <c r="I5" s="4">
        <v>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B942"/>
  </sheetPr>
  <dimension ref="A1:E151"/>
  <sheetViews>
    <sheetView showGridLines="0" tabSelected="1" topLeftCell="B21" workbookViewId="0">
      <selection activeCell="D27" sqref="D27"/>
    </sheetView>
  </sheetViews>
  <sheetFormatPr defaultRowHeight="14.4" x14ac:dyDescent="0.3"/>
  <cols>
    <col min="1" max="1" width="4" customWidth="1"/>
    <col min="2" max="2" width="28" customWidth="1"/>
    <col min="3" max="3" width="50" customWidth="1"/>
    <col min="4" max="5" width="20" customWidth="1"/>
  </cols>
  <sheetData>
    <row r="1" spans="1:5" ht="49.95" customHeight="1" x14ac:dyDescent="0.3">
      <c r="A1" s="22" t="s">
        <v>116</v>
      </c>
      <c r="B1" s="23"/>
      <c r="C1" s="23"/>
      <c r="D1" s="23"/>
      <c r="E1" s="23"/>
    </row>
    <row r="2" spans="1:5" ht="28.05" customHeight="1" x14ac:dyDescent="0.3">
      <c r="A2" s="25" t="s">
        <v>117</v>
      </c>
      <c r="B2" s="23"/>
      <c r="C2" s="23"/>
      <c r="D2" s="23"/>
      <c r="E2" s="23"/>
    </row>
    <row r="3" spans="1:5" ht="19.95" customHeight="1" x14ac:dyDescent="0.3"/>
    <row r="4" spans="1:5" ht="22.05" customHeight="1" x14ac:dyDescent="0.3">
      <c r="B4" s="10" t="s">
        <v>118</v>
      </c>
      <c r="C4" s="11"/>
    </row>
    <row r="5" spans="1:5" ht="22.05" customHeight="1" x14ac:dyDescent="0.3">
      <c r="B5" s="10" t="s">
        <v>119</v>
      </c>
      <c r="C5" s="11"/>
    </row>
    <row r="6" spans="1:5" ht="22.05" customHeight="1" x14ac:dyDescent="0.3">
      <c r="B6" s="10" t="s">
        <v>120</v>
      </c>
      <c r="C6" s="11"/>
    </row>
    <row r="7" spans="1:5" ht="16.05" customHeight="1" x14ac:dyDescent="0.3"/>
    <row r="8" spans="1:5" ht="28.05" customHeight="1" x14ac:dyDescent="0.3">
      <c r="A8" s="12" t="s">
        <v>121</v>
      </c>
      <c r="B8" s="12" t="s">
        <v>122</v>
      </c>
      <c r="C8" s="12" t="s">
        <v>123</v>
      </c>
      <c r="D8" s="12" t="s">
        <v>124</v>
      </c>
      <c r="E8" s="12" t="s">
        <v>125</v>
      </c>
    </row>
    <row r="9" spans="1:5" ht="30" customHeight="1" x14ac:dyDescent="0.3">
      <c r="A9" s="24" t="s">
        <v>126</v>
      </c>
      <c r="B9" s="23"/>
      <c r="C9" s="23"/>
      <c r="D9" s="23"/>
      <c r="E9" s="23"/>
    </row>
    <row r="10" spans="1:5" ht="28.05" customHeight="1" x14ac:dyDescent="0.3">
      <c r="A10" s="12" t="s">
        <v>121</v>
      </c>
      <c r="B10" s="12" t="s">
        <v>122</v>
      </c>
      <c r="C10" s="12" t="s">
        <v>123</v>
      </c>
      <c r="D10" s="12" t="s">
        <v>124</v>
      </c>
      <c r="E10" s="12" t="s">
        <v>125</v>
      </c>
    </row>
    <row r="11" spans="1:5" ht="37.950000000000003" customHeight="1" x14ac:dyDescent="0.3">
      <c r="A11" s="12">
        <v>1</v>
      </c>
      <c r="B11" s="13" t="s">
        <v>127</v>
      </c>
      <c r="C11" s="5" t="s">
        <v>128</v>
      </c>
      <c r="D11" s="14">
        <f>SUM(Sales_Data!J3:J27)</f>
        <v>2582860</v>
      </c>
      <c r="E11" s="15"/>
    </row>
    <row r="12" spans="1:5" ht="37.950000000000003" customHeight="1" x14ac:dyDescent="0.3">
      <c r="A12" s="12">
        <v>2</v>
      </c>
      <c r="B12" s="13" t="s">
        <v>129</v>
      </c>
      <c r="C12" s="16" t="s">
        <v>130</v>
      </c>
      <c r="D12" s="14">
        <f>AVERAGE(Sales_Data!F8:F27)</f>
        <v>24180</v>
      </c>
      <c r="E12" s="15"/>
    </row>
    <row r="13" spans="1:5" ht="37.950000000000003" customHeight="1" x14ac:dyDescent="0.3">
      <c r="A13" s="12">
        <v>3</v>
      </c>
      <c r="B13" s="13" t="s">
        <v>131</v>
      </c>
      <c r="C13" s="5" t="s">
        <v>132</v>
      </c>
      <c r="D13" s="14">
        <f>COUNTIF(Sales_Data!G3:G27,"&gt;0")</f>
        <v>12</v>
      </c>
      <c r="E13" s="15"/>
    </row>
    <row r="14" spans="1:5" ht="37.950000000000003" customHeight="1" x14ac:dyDescent="0.3">
      <c r="A14" s="12">
        <v>4</v>
      </c>
      <c r="B14" s="13" t="s">
        <v>133</v>
      </c>
      <c r="C14" s="16" t="s">
        <v>134</v>
      </c>
      <c r="D14" s="14" t="str">
        <f>MAX(Sales_Data!J3:J27)&amp;"/"&amp;MIN(Sales_Data!J3:J27)</f>
        <v>204600/24000</v>
      </c>
      <c r="E14" s="15"/>
    </row>
    <row r="15" spans="1:5" ht="37.950000000000003" customHeight="1" x14ac:dyDescent="0.3">
      <c r="A15" s="12">
        <v>5</v>
      </c>
      <c r="B15" s="13" t="s">
        <v>135</v>
      </c>
      <c r="C15" s="5" t="s">
        <v>136</v>
      </c>
      <c r="D15" s="14">
        <f>COUNTA(_xlfn.UNIQUE(Sales_Data!B3:B27))</f>
        <v>5</v>
      </c>
      <c r="E15" s="15"/>
    </row>
    <row r="16" spans="1:5" ht="7.95" customHeight="1" x14ac:dyDescent="0.3"/>
    <row r="17" spans="1:5" ht="30" customHeight="1" x14ac:dyDescent="0.3">
      <c r="A17" s="24" t="s">
        <v>137</v>
      </c>
      <c r="B17" s="23"/>
      <c r="C17" s="23"/>
      <c r="D17" s="23"/>
      <c r="E17" s="23"/>
    </row>
    <row r="18" spans="1:5" ht="28.05" customHeight="1" x14ac:dyDescent="0.3">
      <c r="A18" s="12" t="s">
        <v>121</v>
      </c>
      <c r="B18" s="12" t="s">
        <v>122</v>
      </c>
      <c r="C18" s="12" t="s">
        <v>123</v>
      </c>
      <c r="D18" s="12" t="s">
        <v>124</v>
      </c>
      <c r="E18" s="12" t="s">
        <v>125</v>
      </c>
    </row>
    <row r="19" spans="1:5" ht="37.950000000000003" customHeight="1" x14ac:dyDescent="0.3">
      <c r="A19" s="12">
        <v>1</v>
      </c>
      <c r="B19" s="13" t="s">
        <v>138</v>
      </c>
      <c r="C19" s="5" t="s">
        <v>139</v>
      </c>
      <c r="D19" s="14" t="s">
        <v>335</v>
      </c>
      <c r="E19" s="15"/>
    </row>
    <row r="20" spans="1:5" ht="37.950000000000003" customHeight="1" x14ac:dyDescent="0.3">
      <c r="A20" s="12">
        <v>2</v>
      </c>
      <c r="B20" s="13" t="s">
        <v>140</v>
      </c>
      <c r="C20" s="16" t="s">
        <v>141</v>
      </c>
      <c r="D20" s="14" t="s">
        <v>334</v>
      </c>
      <c r="E20" s="15"/>
    </row>
    <row r="21" spans="1:5" ht="37.950000000000003" customHeight="1" x14ac:dyDescent="0.3">
      <c r="A21" s="12">
        <v>3</v>
      </c>
      <c r="B21" s="13" t="s">
        <v>142</v>
      </c>
      <c r="C21" s="5" t="s">
        <v>143</v>
      </c>
      <c r="D21" s="14"/>
      <c r="E21" s="15"/>
    </row>
    <row r="22" spans="1:5" ht="37.950000000000003" customHeight="1" x14ac:dyDescent="0.3">
      <c r="A22" s="12">
        <v>4</v>
      </c>
      <c r="B22" s="13" t="s">
        <v>144</v>
      </c>
      <c r="C22" s="16" t="s">
        <v>145</v>
      </c>
      <c r="D22" s="14"/>
      <c r="E22" s="15"/>
    </row>
    <row r="23" spans="1:5" ht="7.95" customHeight="1" x14ac:dyDescent="0.3"/>
    <row r="24" spans="1:5" ht="30" customHeight="1" x14ac:dyDescent="0.3">
      <c r="A24" s="24" t="s">
        <v>146</v>
      </c>
      <c r="B24" s="23"/>
      <c r="C24" s="23"/>
      <c r="D24" s="23"/>
      <c r="E24" s="23"/>
    </row>
    <row r="25" spans="1:5" ht="28.05" customHeight="1" x14ac:dyDescent="0.3">
      <c r="A25" s="12" t="s">
        <v>121</v>
      </c>
      <c r="B25" s="12" t="s">
        <v>122</v>
      </c>
      <c r="C25" s="12" t="s">
        <v>123</v>
      </c>
      <c r="D25" s="12" t="s">
        <v>124</v>
      </c>
      <c r="E25" s="12" t="s">
        <v>125</v>
      </c>
    </row>
    <row r="26" spans="1:5" ht="37.950000000000003" customHeight="1" x14ac:dyDescent="0.3">
      <c r="A26" s="12">
        <v>1</v>
      </c>
      <c r="B26" s="13" t="s">
        <v>147</v>
      </c>
      <c r="C26" s="16" t="s">
        <v>148</v>
      </c>
      <c r="D26" s="14" t="s">
        <v>336</v>
      </c>
      <c r="E26" s="15"/>
    </row>
    <row r="27" spans="1:5" ht="37.950000000000003" customHeight="1" x14ac:dyDescent="0.3">
      <c r="A27" s="12">
        <v>2</v>
      </c>
      <c r="B27" s="13" t="s">
        <v>149</v>
      </c>
      <c r="C27" s="5" t="s">
        <v>150</v>
      </c>
      <c r="D27" s="14"/>
      <c r="E27" s="15"/>
    </row>
    <row r="28" spans="1:5" ht="37.950000000000003" customHeight="1" x14ac:dyDescent="0.3">
      <c r="A28" s="12">
        <v>3</v>
      </c>
      <c r="B28" s="13" t="s">
        <v>151</v>
      </c>
      <c r="C28" s="16" t="s">
        <v>152</v>
      </c>
      <c r="D28" s="14"/>
      <c r="E28" s="15"/>
    </row>
    <row r="29" spans="1:5" ht="37.950000000000003" customHeight="1" x14ac:dyDescent="0.3">
      <c r="A29" s="12">
        <v>4</v>
      </c>
      <c r="B29" s="13" t="s">
        <v>153</v>
      </c>
      <c r="C29" s="5" t="s">
        <v>154</v>
      </c>
      <c r="D29" s="14"/>
      <c r="E29" s="15"/>
    </row>
    <row r="30" spans="1:5" ht="37.950000000000003" customHeight="1" x14ac:dyDescent="0.3">
      <c r="A30" s="12">
        <v>5</v>
      </c>
      <c r="B30" s="13" t="s">
        <v>155</v>
      </c>
      <c r="C30" s="16" t="s">
        <v>156</v>
      </c>
      <c r="D30" s="14"/>
      <c r="E30" s="15"/>
    </row>
    <row r="31" spans="1:5" ht="7.95" customHeight="1" x14ac:dyDescent="0.3"/>
    <row r="32" spans="1:5" ht="30" customHeight="1" x14ac:dyDescent="0.3">
      <c r="A32" s="24" t="s">
        <v>157</v>
      </c>
      <c r="B32" s="23"/>
      <c r="C32" s="23"/>
      <c r="D32" s="23"/>
      <c r="E32" s="23"/>
    </row>
    <row r="33" spans="1:5" ht="28.05" customHeight="1" x14ac:dyDescent="0.3">
      <c r="A33" s="12" t="s">
        <v>121</v>
      </c>
      <c r="B33" s="12" t="s">
        <v>122</v>
      </c>
      <c r="C33" s="12" t="s">
        <v>123</v>
      </c>
      <c r="D33" s="12" t="s">
        <v>124</v>
      </c>
      <c r="E33" s="12" t="s">
        <v>125</v>
      </c>
    </row>
    <row r="34" spans="1:5" ht="37.950000000000003" customHeight="1" x14ac:dyDescent="0.3">
      <c r="A34" s="12">
        <v>1</v>
      </c>
      <c r="B34" s="13" t="s">
        <v>158</v>
      </c>
      <c r="C34" s="16" t="s">
        <v>159</v>
      </c>
      <c r="D34" s="14"/>
      <c r="E34" s="15"/>
    </row>
    <row r="35" spans="1:5" ht="37.950000000000003" customHeight="1" x14ac:dyDescent="0.3">
      <c r="A35" s="12">
        <v>2</v>
      </c>
      <c r="B35" s="13" t="s">
        <v>160</v>
      </c>
      <c r="C35" s="5" t="s">
        <v>161</v>
      </c>
      <c r="D35" s="14"/>
      <c r="E35" s="15"/>
    </row>
    <row r="36" spans="1:5" ht="37.950000000000003" customHeight="1" x14ac:dyDescent="0.3">
      <c r="A36" s="12">
        <v>3</v>
      </c>
      <c r="B36" s="13" t="s">
        <v>162</v>
      </c>
      <c r="C36" s="16" t="s">
        <v>163</v>
      </c>
      <c r="D36" s="14"/>
      <c r="E36" s="15"/>
    </row>
    <row r="37" spans="1:5" ht="37.950000000000003" customHeight="1" x14ac:dyDescent="0.3">
      <c r="A37" s="12">
        <v>4</v>
      </c>
      <c r="B37" s="13" t="s">
        <v>164</v>
      </c>
      <c r="C37" s="5" t="s">
        <v>165</v>
      </c>
      <c r="D37" s="14"/>
      <c r="E37" s="15"/>
    </row>
    <row r="38" spans="1:5" ht="37.950000000000003" customHeight="1" x14ac:dyDescent="0.3">
      <c r="A38" s="12">
        <v>5</v>
      </c>
      <c r="B38" s="13" t="s">
        <v>166</v>
      </c>
      <c r="C38" s="16" t="s">
        <v>167</v>
      </c>
      <c r="D38" s="14">
        <f>HLOOKUP("jun",Monthly_Targets!A2:I5,3,FALSE)</f>
        <v>541000</v>
      </c>
      <c r="E38" s="15"/>
    </row>
    <row r="39" spans="1:5" ht="37.950000000000003" customHeight="1" x14ac:dyDescent="0.3">
      <c r="A39" s="12">
        <v>6</v>
      </c>
      <c r="B39" s="13" t="s">
        <v>168</v>
      </c>
      <c r="C39" s="5" t="s">
        <v>169</v>
      </c>
      <c r="D39" s="14">
        <f>HLOOKUP("APR",Monthly_Targets!A2:I5,3,FALSE)</f>
        <v>512000</v>
      </c>
      <c r="E39" s="15"/>
    </row>
    <row r="40" spans="1:5" ht="37.950000000000003" customHeight="1" x14ac:dyDescent="0.3">
      <c r="A40" s="12">
        <v>7</v>
      </c>
      <c r="B40" s="13" t="s">
        <v>170</v>
      </c>
      <c r="C40" s="16" t="s">
        <v>171</v>
      </c>
      <c r="D40" s="14"/>
      <c r="E40" s="15"/>
    </row>
    <row r="41" spans="1:5" ht="7.95" customHeight="1" x14ac:dyDescent="0.3"/>
    <row r="42" spans="1:5" ht="30" customHeight="1" x14ac:dyDescent="0.3">
      <c r="A42" s="24" t="s">
        <v>172</v>
      </c>
      <c r="B42" s="23"/>
      <c r="C42" s="23"/>
      <c r="D42" s="23"/>
      <c r="E42" s="23"/>
    </row>
    <row r="43" spans="1:5" ht="28.05" customHeight="1" x14ac:dyDescent="0.3">
      <c r="A43" s="12" t="s">
        <v>121</v>
      </c>
      <c r="B43" s="12" t="s">
        <v>122</v>
      </c>
      <c r="C43" s="12" t="s">
        <v>123</v>
      </c>
      <c r="D43" s="12" t="s">
        <v>124</v>
      </c>
      <c r="E43" s="12" t="s">
        <v>125</v>
      </c>
    </row>
    <row r="44" spans="1:5" ht="37.950000000000003" customHeight="1" x14ac:dyDescent="0.3">
      <c r="A44" s="12">
        <v>1</v>
      </c>
      <c r="B44" s="13" t="s">
        <v>173</v>
      </c>
      <c r="C44" s="16" t="s">
        <v>174</v>
      </c>
      <c r="D44" s="14"/>
      <c r="E44" s="15"/>
    </row>
    <row r="45" spans="1:5" ht="37.950000000000003" customHeight="1" x14ac:dyDescent="0.3">
      <c r="A45" s="12">
        <v>2</v>
      </c>
      <c r="B45" s="13" t="s">
        <v>175</v>
      </c>
      <c r="C45" s="5" t="s">
        <v>176</v>
      </c>
      <c r="D45" s="14"/>
      <c r="E45" s="15"/>
    </row>
    <row r="46" spans="1:5" ht="37.950000000000003" customHeight="1" x14ac:dyDescent="0.3">
      <c r="A46" s="12">
        <v>3</v>
      </c>
      <c r="B46" s="13" t="s">
        <v>177</v>
      </c>
      <c r="C46" s="16" t="s">
        <v>178</v>
      </c>
      <c r="D46" s="14"/>
      <c r="E46" s="15"/>
    </row>
    <row r="47" spans="1:5" ht="37.950000000000003" customHeight="1" x14ac:dyDescent="0.3">
      <c r="A47" s="12">
        <v>4</v>
      </c>
      <c r="B47" s="13" t="s">
        <v>179</v>
      </c>
      <c r="C47" s="5" t="s">
        <v>180</v>
      </c>
      <c r="D47" s="14"/>
      <c r="E47" s="15"/>
    </row>
    <row r="48" spans="1:5" ht="37.950000000000003" customHeight="1" x14ac:dyDescent="0.3">
      <c r="A48" s="12">
        <v>5</v>
      </c>
      <c r="B48" s="13" t="s">
        <v>181</v>
      </c>
      <c r="C48" s="16" t="s">
        <v>182</v>
      </c>
      <c r="D48" s="14"/>
      <c r="E48" s="15"/>
    </row>
    <row r="49" spans="1:5" ht="7.95" customHeight="1" x14ac:dyDescent="0.3"/>
    <row r="50" spans="1:5" ht="30" customHeight="1" x14ac:dyDescent="0.3">
      <c r="A50" s="24" t="s">
        <v>183</v>
      </c>
      <c r="B50" s="23"/>
      <c r="C50" s="23"/>
      <c r="D50" s="23"/>
      <c r="E50" s="23"/>
    </row>
    <row r="51" spans="1:5" ht="28.05" customHeight="1" x14ac:dyDescent="0.3">
      <c r="A51" s="12" t="s">
        <v>121</v>
      </c>
      <c r="B51" s="12" t="s">
        <v>122</v>
      </c>
      <c r="C51" s="12" t="s">
        <v>123</v>
      </c>
      <c r="D51" s="12" t="s">
        <v>124</v>
      </c>
      <c r="E51" s="12" t="s">
        <v>125</v>
      </c>
    </row>
    <row r="52" spans="1:5" ht="37.950000000000003" customHeight="1" x14ac:dyDescent="0.3">
      <c r="A52" s="12">
        <v>1</v>
      </c>
      <c r="B52" s="13" t="s">
        <v>184</v>
      </c>
      <c r="C52" s="16" t="s">
        <v>185</v>
      </c>
      <c r="D52" s="14"/>
      <c r="E52" s="15"/>
    </row>
    <row r="53" spans="1:5" ht="37.950000000000003" customHeight="1" x14ac:dyDescent="0.3">
      <c r="A53" s="12">
        <v>2</v>
      </c>
      <c r="B53" s="13" t="s">
        <v>186</v>
      </c>
      <c r="C53" s="5" t="s">
        <v>187</v>
      </c>
      <c r="D53" s="14"/>
      <c r="E53" s="15"/>
    </row>
    <row r="54" spans="1:5" ht="37.950000000000003" customHeight="1" x14ac:dyDescent="0.3">
      <c r="A54" s="12">
        <v>3</v>
      </c>
      <c r="B54" s="13" t="s">
        <v>188</v>
      </c>
      <c r="C54" s="16" t="s">
        <v>189</v>
      </c>
      <c r="D54" s="14"/>
      <c r="E54" s="15"/>
    </row>
    <row r="55" spans="1:5" ht="37.950000000000003" customHeight="1" x14ac:dyDescent="0.3">
      <c r="A55" s="12">
        <v>4</v>
      </c>
      <c r="B55" s="13" t="s">
        <v>190</v>
      </c>
      <c r="C55" s="5" t="s">
        <v>191</v>
      </c>
      <c r="D55" s="14"/>
      <c r="E55" s="15"/>
    </row>
    <row r="56" spans="1:5" ht="37.950000000000003" customHeight="1" x14ac:dyDescent="0.3">
      <c r="A56" s="12">
        <v>5</v>
      </c>
      <c r="B56" s="13" t="s">
        <v>192</v>
      </c>
      <c r="C56" s="16" t="s">
        <v>193</v>
      </c>
      <c r="D56" s="14"/>
      <c r="E56" s="15"/>
    </row>
    <row r="57" spans="1:5" ht="37.950000000000003" customHeight="1" x14ac:dyDescent="0.3">
      <c r="A57" s="12">
        <v>6</v>
      </c>
      <c r="B57" s="13" t="s">
        <v>194</v>
      </c>
      <c r="C57" s="5" t="s">
        <v>195</v>
      </c>
      <c r="D57" s="14"/>
      <c r="E57" s="15"/>
    </row>
    <row r="58" spans="1:5" ht="37.950000000000003" customHeight="1" x14ac:dyDescent="0.3">
      <c r="A58" s="12">
        <v>7</v>
      </c>
      <c r="B58" s="13" t="s">
        <v>196</v>
      </c>
      <c r="C58" s="16" t="s">
        <v>197</v>
      </c>
      <c r="D58" s="14"/>
      <c r="E58" s="15"/>
    </row>
    <row r="59" spans="1:5" ht="37.950000000000003" customHeight="1" x14ac:dyDescent="0.3">
      <c r="A59" s="12">
        <v>8</v>
      </c>
      <c r="B59" s="13" t="s">
        <v>198</v>
      </c>
      <c r="C59" s="5" t="s">
        <v>199</v>
      </c>
      <c r="D59" s="14"/>
      <c r="E59" s="15"/>
    </row>
    <row r="60" spans="1:5" ht="7.95" customHeight="1" x14ac:dyDescent="0.3"/>
    <row r="61" spans="1:5" ht="30" customHeight="1" x14ac:dyDescent="0.3">
      <c r="A61" s="24" t="s">
        <v>200</v>
      </c>
      <c r="B61" s="23"/>
      <c r="C61" s="23"/>
      <c r="D61" s="23"/>
      <c r="E61" s="23"/>
    </row>
    <row r="62" spans="1:5" ht="28.05" customHeight="1" x14ac:dyDescent="0.3">
      <c r="A62" s="12" t="s">
        <v>121</v>
      </c>
      <c r="B62" s="12" t="s">
        <v>122</v>
      </c>
      <c r="C62" s="12" t="s">
        <v>123</v>
      </c>
      <c r="D62" s="12" t="s">
        <v>124</v>
      </c>
      <c r="E62" s="12" t="s">
        <v>125</v>
      </c>
    </row>
    <row r="63" spans="1:5" ht="37.950000000000003" customHeight="1" x14ac:dyDescent="0.3">
      <c r="A63" s="12">
        <v>1</v>
      </c>
      <c r="B63" s="13" t="s">
        <v>201</v>
      </c>
      <c r="C63" s="5" t="s">
        <v>202</v>
      </c>
      <c r="D63" s="14"/>
      <c r="E63" s="15"/>
    </row>
    <row r="64" spans="1:5" ht="37.950000000000003" customHeight="1" x14ac:dyDescent="0.3">
      <c r="A64" s="12">
        <v>2</v>
      </c>
      <c r="B64" s="13" t="s">
        <v>203</v>
      </c>
      <c r="C64" s="16" t="s">
        <v>204</v>
      </c>
      <c r="D64" s="14"/>
      <c r="E64" s="15"/>
    </row>
    <row r="65" spans="1:5" ht="37.950000000000003" customHeight="1" x14ac:dyDescent="0.3">
      <c r="A65" s="12">
        <v>3</v>
      </c>
      <c r="B65" s="13" t="s">
        <v>205</v>
      </c>
      <c r="C65" s="5" t="s">
        <v>206</v>
      </c>
      <c r="D65" s="14"/>
      <c r="E65" s="15"/>
    </row>
    <row r="66" spans="1:5" ht="37.950000000000003" customHeight="1" x14ac:dyDescent="0.3">
      <c r="A66" s="12">
        <v>4</v>
      </c>
      <c r="B66" s="13" t="s">
        <v>207</v>
      </c>
      <c r="C66" s="16" t="s">
        <v>208</v>
      </c>
      <c r="D66" s="14"/>
      <c r="E66" s="15"/>
    </row>
    <row r="67" spans="1:5" ht="37.950000000000003" customHeight="1" x14ac:dyDescent="0.3">
      <c r="A67" s="12">
        <v>5</v>
      </c>
      <c r="B67" s="13" t="s">
        <v>209</v>
      </c>
      <c r="C67" s="5" t="s">
        <v>210</v>
      </c>
      <c r="D67" s="14"/>
      <c r="E67" s="15"/>
    </row>
    <row r="68" spans="1:5" ht="37.950000000000003" customHeight="1" x14ac:dyDescent="0.3">
      <c r="A68" s="12">
        <v>6</v>
      </c>
      <c r="B68" s="13" t="s">
        <v>211</v>
      </c>
      <c r="C68" s="16" t="s">
        <v>212</v>
      </c>
      <c r="D68" s="14"/>
      <c r="E68" s="15"/>
    </row>
    <row r="69" spans="1:5" ht="37.950000000000003" customHeight="1" x14ac:dyDescent="0.3">
      <c r="A69" s="12">
        <v>7</v>
      </c>
      <c r="B69" s="13" t="s">
        <v>213</v>
      </c>
      <c r="C69" s="5" t="s">
        <v>214</v>
      </c>
      <c r="D69" s="14"/>
      <c r="E69" s="15"/>
    </row>
    <row r="70" spans="1:5" ht="37.950000000000003" customHeight="1" x14ac:dyDescent="0.3">
      <c r="A70" s="12">
        <v>8</v>
      </c>
      <c r="B70" s="13" t="s">
        <v>215</v>
      </c>
      <c r="C70" s="16" t="s">
        <v>216</v>
      </c>
      <c r="D70" s="14"/>
      <c r="E70" s="15"/>
    </row>
    <row r="71" spans="1:5" ht="7.95" customHeight="1" x14ac:dyDescent="0.3"/>
    <row r="72" spans="1:5" ht="30" customHeight="1" x14ac:dyDescent="0.3">
      <c r="A72" s="24" t="s">
        <v>217</v>
      </c>
      <c r="B72" s="23"/>
      <c r="C72" s="23"/>
      <c r="D72" s="23"/>
      <c r="E72" s="23"/>
    </row>
    <row r="73" spans="1:5" ht="28.05" customHeight="1" x14ac:dyDescent="0.3">
      <c r="A73" s="12" t="s">
        <v>121</v>
      </c>
      <c r="B73" s="12" t="s">
        <v>122</v>
      </c>
      <c r="C73" s="12" t="s">
        <v>123</v>
      </c>
      <c r="D73" s="12" t="s">
        <v>124</v>
      </c>
      <c r="E73" s="12" t="s">
        <v>125</v>
      </c>
    </row>
    <row r="74" spans="1:5" ht="37.950000000000003" customHeight="1" x14ac:dyDescent="0.3">
      <c r="A74" s="12">
        <v>1</v>
      </c>
      <c r="B74" s="13" t="s">
        <v>218</v>
      </c>
      <c r="C74" s="16" t="s">
        <v>219</v>
      </c>
      <c r="D74" s="14"/>
      <c r="E74" s="15"/>
    </row>
    <row r="75" spans="1:5" ht="37.950000000000003" customHeight="1" x14ac:dyDescent="0.3">
      <c r="A75" s="12">
        <v>2</v>
      </c>
      <c r="B75" s="13" t="s">
        <v>220</v>
      </c>
      <c r="C75" s="5" t="s">
        <v>221</v>
      </c>
      <c r="D75" s="14"/>
      <c r="E75" s="15"/>
    </row>
    <row r="76" spans="1:5" ht="37.950000000000003" customHeight="1" x14ac:dyDescent="0.3">
      <c r="A76" s="12">
        <v>3</v>
      </c>
      <c r="B76" s="13" t="s">
        <v>222</v>
      </c>
      <c r="C76" s="16" t="s">
        <v>223</v>
      </c>
      <c r="D76" s="14"/>
      <c r="E76" s="15"/>
    </row>
    <row r="77" spans="1:5" ht="37.950000000000003" customHeight="1" x14ac:dyDescent="0.3">
      <c r="A77" s="12">
        <v>4</v>
      </c>
      <c r="B77" s="13" t="s">
        <v>224</v>
      </c>
      <c r="C77" s="5" t="s">
        <v>225</v>
      </c>
      <c r="D77" s="14"/>
      <c r="E77" s="15"/>
    </row>
    <row r="78" spans="1:5" ht="37.950000000000003" customHeight="1" x14ac:dyDescent="0.3">
      <c r="A78" s="12">
        <v>5</v>
      </c>
      <c r="B78" s="13" t="s">
        <v>226</v>
      </c>
      <c r="C78" s="16" t="s">
        <v>227</v>
      </c>
      <c r="D78" s="14"/>
      <c r="E78" s="15"/>
    </row>
    <row r="79" spans="1:5" ht="37.950000000000003" customHeight="1" x14ac:dyDescent="0.3">
      <c r="A79" s="12">
        <v>6</v>
      </c>
      <c r="B79" s="13" t="s">
        <v>228</v>
      </c>
      <c r="C79" s="5" t="s">
        <v>229</v>
      </c>
      <c r="D79" s="14"/>
      <c r="E79" s="15"/>
    </row>
    <row r="80" spans="1:5" ht="7.95" customHeight="1" x14ac:dyDescent="0.3"/>
    <row r="81" spans="1:5" ht="30" customHeight="1" x14ac:dyDescent="0.3">
      <c r="A81" s="24" t="s">
        <v>230</v>
      </c>
      <c r="B81" s="23"/>
      <c r="C81" s="23"/>
      <c r="D81" s="23"/>
      <c r="E81" s="23"/>
    </row>
    <row r="82" spans="1:5" ht="28.05" customHeight="1" x14ac:dyDescent="0.3">
      <c r="A82" s="12" t="s">
        <v>121</v>
      </c>
      <c r="B82" s="12" t="s">
        <v>122</v>
      </c>
      <c r="C82" s="12" t="s">
        <v>123</v>
      </c>
      <c r="D82" s="12" t="s">
        <v>124</v>
      </c>
      <c r="E82" s="12" t="s">
        <v>125</v>
      </c>
    </row>
    <row r="83" spans="1:5" ht="37.950000000000003" customHeight="1" x14ac:dyDescent="0.3">
      <c r="A83" s="12">
        <v>1</v>
      </c>
      <c r="B83" s="13" t="s">
        <v>231</v>
      </c>
      <c r="C83" s="5" t="s">
        <v>232</v>
      </c>
      <c r="D83" s="14"/>
      <c r="E83" s="15"/>
    </row>
    <row r="84" spans="1:5" ht="37.950000000000003" customHeight="1" x14ac:dyDescent="0.3">
      <c r="A84" s="12">
        <v>2</v>
      </c>
      <c r="B84" s="13" t="s">
        <v>233</v>
      </c>
      <c r="C84" s="16" t="s">
        <v>234</v>
      </c>
      <c r="D84" s="14"/>
      <c r="E84" s="15"/>
    </row>
    <row r="85" spans="1:5" ht="37.950000000000003" customHeight="1" x14ac:dyDescent="0.3">
      <c r="A85" s="12">
        <v>3</v>
      </c>
      <c r="B85" s="13" t="s">
        <v>235</v>
      </c>
      <c r="C85" s="5" t="s">
        <v>236</v>
      </c>
      <c r="D85" s="14"/>
      <c r="E85" s="15"/>
    </row>
    <row r="86" spans="1:5" ht="37.950000000000003" customHeight="1" x14ac:dyDescent="0.3">
      <c r="A86" s="12">
        <v>4</v>
      </c>
      <c r="B86" s="13" t="s">
        <v>237</v>
      </c>
      <c r="C86" s="16" t="s">
        <v>238</v>
      </c>
      <c r="D86" s="14"/>
      <c r="E86" s="15"/>
    </row>
    <row r="87" spans="1:5" ht="37.950000000000003" customHeight="1" x14ac:dyDescent="0.3">
      <c r="A87" s="12">
        <v>5</v>
      </c>
      <c r="B87" s="13" t="s">
        <v>239</v>
      </c>
      <c r="C87" s="5" t="s">
        <v>240</v>
      </c>
      <c r="D87" s="14"/>
      <c r="E87" s="15"/>
    </row>
    <row r="88" spans="1:5" ht="37.950000000000003" customHeight="1" x14ac:dyDescent="0.3">
      <c r="A88" s="12">
        <v>6</v>
      </c>
      <c r="B88" s="13" t="s">
        <v>241</v>
      </c>
      <c r="C88" s="16" t="s">
        <v>242</v>
      </c>
      <c r="D88" s="14"/>
      <c r="E88" s="15"/>
    </row>
    <row r="89" spans="1:5" ht="7.95" customHeight="1" x14ac:dyDescent="0.3"/>
    <row r="90" spans="1:5" ht="30" customHeight="1" x14ac:dyDescent="0.3">
      <c r="A90" s="24" t="s">
        <v>243</v>
      </c>
      <c r="B90" s="23"/>
      <c r="C90" s="23"/>
      <c r="D90" s="23"/>
      <c r="E90" s="23"/>
    </row>
    <row r="91" spans="1:5" ht="28.05" customHeight="1" x14ac:dyDescent="0.3">
      <c r="A91" s="12" t="s">
        <v>121</v>
      </c>
      <c r="B91" s="12" t="s">
        <v>122</v>
      </c>
      <c r="C91" s="12" t="s">
        <v>123</v>
      </c>
      <c r="D91" s="12" t="s">
        <v>124</v>
      </c>
      <c r="E91" s="12" t="s">
        <v>125</v>
      </c>
    </row>
    <row r="92" spans="1:5" ht="37.950000000000003" customHeight="1" x14ac:dyDescent="0.3">
      <c r="A92" s="12">
        <v>1</v>
      </c>
      <c r="B92" s="13" t="s">
        <v>244</v>
      </c>
      <c r="C92" s="16" t="s">
        <v>245</v>
      </c>
      <c r="D92" s="14"/>
      <c r="E92" s="15"/>
    </row>
    <row r="93" spans="1:5" ht="37.950000000000003" customHeight="1" x14ac:dyDescent="0.3">
      <c r="A93" s="12">
        <v>2</v>
      </c>
      <c r="B93" s="13" t="s">
        <v>246</v>
      </c>
      <c r="C93" s="5" t="s">
        <v>247</v>
      </c>
      <c r="D93" s="14"/>
      <c r="E93" s="15"/>
    </row>
    <row r="94" spans="1:5" ht="37.950000000000003" customHeight="1" x14ac:dyDescent="0.3">
      <c r="A94" s="12">
        <v>3</v>
      </c>
      <c r="B94" s="13" t="s">
        <v>248</v>
      </c>
      <c r="C94" s="16" t="s">
        <v>249</v>
      </c>
      <c r="D94" s="14"/>
      <c r="E94" s="15"/>
    </row>
    <row r="95" spans="1:5" ht="37.950000000000003" customHeight="1" x14ac:dyDescent="0.3">
      <c r="A95" s="12">
        <v>4</v>
      </c>
      <c r="B95" s="13" t="s">
        <v>250</v>
      </c>
      <c r="C95" s="5" t="s">
        <v>251</v>
      </c>
      <c r="D95" s="14"/>
      <c r="E95" s="15"/>
    </row>
    <row r="96" spans="1:5" ht="37.950000000000003" customHeight="1" x14ac:dyDescent="0.3">
      <c r="A96" s="12">
        <v>5</v>
      </c>
      <c r="B96" s="13" t="s">
        <v>252</v>
      </c>
      <c r="C96" s="16" t="s">
        <v>253</v>
      </c>
      <c r="D96" s="14"/>
      <c r="E96" s="15"/>
    </row>
    <row r="97" spans="1:5" ht="7.95" customHeight="1" x14ac:dyDescent="0.3"/>
    <row r="98" spans="1:5" ht="30" customHeight="1" x14ac:dyDescent="0.3">
      <c r="A98" s="24" t="s">
        <v>254</v>
      </c>
      <c r="B98" s="23"/>
      <c r="C98" s="23"/>
      <c r="D98" s="23"/>
      <c r="E98" s="23"/>
    </row>
    <row r="99" spans="1:5" ht="28.05" customHeight="1" x14ac:dyDescent="0.3">
      <c r="A99" s="12" t="s">
        <v>121</v>
      </c>
      <c r="B99" s="12" t="s">
        <v>122</v>
      </c>
      <c r="C99" s="12" t="s">
        <v>123</v>
      </c>
      <c r="D99" s="12" t="s">
        <v>124</v>
      </c>
      <c r="E99" s="12" t="s">
        <v>125</v>
      </c>
    </row>
    <row r="100" spans="1:5" ht="37.950000000000003" customHeight="1" x14ac:dyDescent="0.3">
      <c r="A100" s="12">
        <v>1</v>
      </c>
      <c r="B100" s="13" t="s">
        <v>255</v>
      </c>
      <c r="C100" s="16" t="s">
        <v>256</v>
      </c>
      <c r="D100" s="14"/>
      <c r="E100" s="15"/>
    </row>
    <row r="101" spans="1:5" ht="37.950000000000003" customHeight="1" x14ac:dyDescent="0.3">
      <c r="A101" s="12">
        <v>2</v>
      </c>
      <c r="B101" s="13" t="s">
        <v>257</v>
      </c>
      <c r="C101" s="5" t="s">
        <v>258</v>
      </c>
      <c r="D101" s="14"/>
      <c r="E101" s="15"/>
    </row>
    <row r="102" spans="1:5" ht="37.950000000000003" customHeight="1" x14ac:dyDescent="0.3">
      <c r="A102" s="12">
        <v>3</v>
      </c>
      <c r="B102" s="13" t="s">
        <v>259</v>
      </c>
      <c r="C102" s="16" t="s">
        <v>260</v>
      </c>
      <c r="D102" s="14"/>
      <c r="E102" s="15"/>
    </row>
    <row r="103" spans="1:5" ht="37.950000000000003" customHeight="1" x14ac:dyDescent="0.3">
      <c r="A103" s="12">
        <v>4</v>
      </c>
      <c r="B103" s="13" t="s">
        <v>261</v>
      </c>
      <c r="C103" s="5" t="s">
        <v>262</v>
      </c>
      <c r="D103" s="14"/>
      <c r="E103" s="15"/>
    </row>
    <row r="104" spans="1:5" ht="37.950000000000003" customHeight="1" x14ac:dyDescent="0.3">
      <c r="A104" s="12">
        <v>5</v>
      </c>
      <c r="B104" s="13" t="s">
        <v>263</v>
      </c>
      <c r="C104" s="16" t="s">
        <v>264</v>
      </c>
      <c r="D104" s="14"/>
      <c r="E104" s="15"/>
    </row>
    <row r="105" spans="1:5" ht="37.950000000000003" customHeight="1" x14ac:dyDescent="0.3">
      <c r="A105" s="12">
        <v>6</v>
      </c>
      <c r="B105" s="13" t="s">
        <v>265</v>
      </c>
      <c r="C105" s="5" t="s">
        <v>266</v>
      </c>
      <c r="D105" s="14"/>
      <c r="E105" s="15"/>
    </row>
    <row r="106" spans="1:5" ht="37.950000000000003" customHeight="1" x14ac:dyDescent="0.3">
      <c r="A106" s="12">
        <v>7</v>
      </c>
      <c r="B106" s="13" t="s">
        <v>267</v>
      </c>
      <c r="C106" s="16" t="s">
        <v>268</v>
      </c>
      <c r="D106" s="14"/>
      <c r="E106" s="15"/>
    </row>
    <row r="107" spans="1:5" ht="7.95" customHeight="1" x14ac:dyDescent="0.3"/>
    <row r="108" spans="1:5" ht="30" customHeight="1" x14ac:dyDescent="0.3">
      <c r="A108" s="24" t="s">
        <v>269</v>
      </c>
      <c r="B108" s="23"/>
      <c r="C108" s="23"/>
      <c r="D108" s="23"/>
      <c r="E108" s="23"/>
    </row>
    <row r="109" spans="1:5" ht="28.05" customHeight="1" x14ac:dyDescent="0.3">
      <c r="A109" s="12" t="s">
        <v>121</v>
      </c>
      <c r="B109" s="12" t="s">
        <v>122</v>
      </c>
      <c r="C109" s="12" t="s">
        <v>123</v>
      </c>
      <c r="D109" s="12" t="s">
        <v>124</v>
      </c>
      <c r="E109" s="12" t="s">
        <v>125</v>
      </c>
    </row>
    <row r="110" spans="1:5" ht="37.950000000000003" customHeight="1" x14ac:dyDescent="0.3">
      <c r="A110" s="12">
        <v>1</v>
      </c>
      <c r="B110" s="13" t="s">
        <v>270</v>
      </c>
      <c r="C110" s="16" t="s">
        <v>271</v>
      </c>
      <c r="D110" s="14"/>
      <c r="E110" s="15"/>
    </row>
    <row r="111" spans="1:5" ht="37.950000000000003" customHeight="1" x14ac:dyDescent="0.3">
      <c r="A111" s="12">
        <v>2</v>
      </c>
      <c r="B111" s="13" t="s">
        <v>272</v>
      </c>
      <c r="C111" s="5" t="s">
        <v>273</v>
      </c>
      <c r="D111" s="14"/>
      <c r="E111" s="15"/>
    </row>
    <row r="112" spans="1:5" ht="37.950000000000003" customHeight="1" x14ac:dyDescent="0.3">
      <c r="A112" s="12">
        <v>3</v>
      </c>
      <c r="B112" s="13" t="s">
        <v>274</v>
      </c>
      <c r="C112" s="16" t="s">
        <v>275</v>
      </c>
      <c r="D112" s="14"/>
      <c r="E112" s="15"/>
    </row>
    <row r="113" spans="1:5" ht="37.950000000000003" customHeight="1" x14ac:dyDescent="0.3">
      <c r="A113" s="12">
        <v>4</v>
      </c>
      <c r="B113" s="13" t="s">
        <v>276</v>
      </c>
      <c r="C113" s="5" t="s">
        <v>277</v>
      </c>
      <c r="D113" s="14"/>
      <c r="E113" s="15"/>
    </row>
    <row r="114" spans="1:5" ht="37.950000000000003" customHeight="1" x14ac:dyDescent="0.3">
      <c r="A114" s="12">
        <v>5</v>
      </c>
      <c r="B114" s="13" t="s">
        <v>278</v>
      </c>
      <c r="C114" s="16" t="s">
        <v>279</v>
      </c>
      <c r="D114" s="14"/>
      <c r="E114" s="15"/>
    </row>
    <row r="115" spans="1:5" ht="37.950000000000003" customHeight="1" x14ac:dyDescent="0.3">
      <c r="A115" s="12">
        <v>6</v>
      </c>
      <c r="B115" s="13" t="s">
        <v>280</v>
      </c>
      <c r="C115" s="5" t="s">
        <v>281</v>
      </c>
      <c r="D115" s="14"/>
      <c r="E115" s="15"/>
    </row>
    <row r="116" spans="1:5" ht="7.95" customHeight="1" x14ac:dyDescent="0.3"/>
    <row r="117" spans="1:5" ht="30" customHeight="1" x14ac:dyDescent="0.3">
      <c r="A117" s="24" t="s">
        <v>282</v>
      </c>
      <c r="B117" s="23"/>
      <c r="C117" s="23"/>
      <c r="D117" s="23"/>
      <c r="E117" s="23"/>
    </row>
    <row r="118" spans="1:5" ht="28.05" customHeight="1" x14ac:dyDescent="0.3">
      <c r="A118" s="12" t="s">
        <v>121</v>
      </c>
      <c r="B118" s="12" t="s">
        <v>122</v>
      </c>
      <c r="C118" s="12" t="s">
        <v>123</v>
      </c>
      <c r="D118" s="12" t="s">
        <v>124</v>
      </c>
      <c r="E118" s="12" t="s">
        <v>125</v>
      </c>
    </row>
    <row r="119" spans="1:5" ht="37.950000000000003" customHeight="1" x14ac:dyDescent="0.3">
      <c r="A119" s="12">
        <v>1</v>
      </c>
      <c r="B119" s="13" t="s">
        <v>283</v>
      </c>
      <c r="C119" s="5" t="s">
        <v>284</v>
      </c>
      <c r="D119" s="14"/>
      <c r="E119" s="15"/>
    </row>
    <row r="120" spans="1:5" ht="37.950000000000003" customHeight="1" x14ac:dyDescent="0.3">
      <c r="A120" s="12">
        <v>2</v>
      </c>
      <c r="B120" s="13" t="s">
        <v>285</v>
      </c>
      <c r="C120" s="16" t="s">
        <v>286</v>
      </c>
      <c r="D120" s="14"/>
      <c r="E120" s="15"/>
    </row>
    <row r="121" spans="1:5" ht="37.950000000000003" customHeight="1" x14ac:dyDescent="0.3">
      <c r="A121" s="12">
        <v>3</v>
      </c>
      <c r="B121" s="13" t="s">
        <v>287</v>
      </c>
      <c r="C121" s="5" t="s">
        <v>288</v>
      </c>
      <c r="D121" s="14"/>
      <c r="E121" s="15"/>
    </row>
    <row r="122" spans="1:5" ht="37.950000000000003" customHeight="1" x14ac:dyDescent="0.3">
      <c r="A122" s="12">
        <v>4</v>
      </c>
      <c r="B122" s="13" t="s">
        <v>289</v>
      </c>
      <c r="C122" s="16" t="s">
        <v>290</v>
      </c>
      <c r="D122" s="14"/>
      <c r="E122" s="15"/>
    </row>
    <row r="123" spans="1:5" ht="7.95" customHeight="1" x14ac:dyDescent="0.3"/>
    <row r="124" spans="1:5" ht="30" customHeight="1" x14ac:dyDescent="0.3">
      <c r="A124" s="24" t="s">
        <v>291</v>
      </c>
      <c r="B124" s="23"/>
      <c r="C124" s="23"/>
      <c r="D124" s="23"/>
      <c r="E124" s="23"/>
    </row>
    <row r="125" spans="1:5" ht="28.05" customHeight="1" x14ac:dyDescent="0.3">
      <c r="A125" s="12" t="s">
        <v>121</v>
      </c>
      <c r="B125" s="12" t="s">
        <v>122</v>
      </c>
      <c r="C125" s="12" t="s">
        <v>123</v>
      </c>
      <c r="D125" s="12" t="s">
        <v>124</v>
      </c>
      <c r="E125" s="12" t="s">
        <v>125</v>
      </c>
    </row>
    <row r="126" spans="1:5" ht="37.950000000000003" customHeight="1" x14ac:dyDescent="0.3">
      <c r="A126" s="12">
        <v>1</v>
      </c>
      <c r="B126" s="13" t="s">
        <v>292</v>
      </c>
      <c r="C126" s="16" t="s">
        <v>293</v>
      </c>
      <c r="D126" s="14"/>
      <c r="E126" s="15"/>
    </row>
    <row r="127" spans="1:5" ht="37.950000000000003" customHeight="1" x14ac:dyDescent="0.3">
      <c r="A127" s="12">
        <v>2</v>
      </c>
      <c r="B127" s="13" t="s">
        <v>294</v>
      </c>
      <c r="C127" s="5" t="s">
        <v>295</v>
      </c>
      <c r="D127" s="14"/>
      <c r="E127" s="15"/>
    </row>
    <row r="128" spans="1:5" ht="37.950000000000003" customHeight="1" x14ac:dyDescent="0.3">
      <c r="A128" s="12">
        <v>3</v>
      </c>
      <c r="B128" s="13" t="s">
        <v>296</v>
      </c>
      <c r="C128" s="16" t="s">
        <v>297</v>
      </c>
      <c r="D128" s="14"/>
      <c r="E128" s="15"/>
    </row>
    <row r="129" spans="1:5" ht="37.950000000000003" customHeight="1" x14ac:dyDescent="0.3">
      <c r="A129" s="12">
        <v>4</v>
      </c>
      <c r="B129" s="13" t="s">
        <v>298</v>
      </c>
      <c r="C129" s="5" t="s">
        <v>299</v>
      </c>
      <c r="D129" s="14"/>
      <c r="E129" s="15"/>
    </row>
    <row r="130" spans="1:5" ht="37.950000000000003" customHeight="1" x14ac:dyDescent="0.3">
      <c r="A130" s="12">
        <v>5</v>
      </c>
      <c r="B130" s="13" t="s">
        <v>300</v>
      </c>
      <c r="C130" s="16" t="s">
        <v>301</v>
      </c>
      <c r="D130" s="14"/>
      <c r="E130" s="15"/>
    </row>
    <row r="131" spans="1:5" ht="37.950000000000003" customHeight="1" x14ac:dyDescent="0.3">
      <c r="A131" s="12">
        <v>6</v>
      </c>
      <c r="B131" s="13" t="s">
        <v>302</v>
      </c>
      <c r="C131" s="5" t="s">
        <v>303</v>
      </c>
      <c r="D131" s="14"/>
      <c r="E131" s="15"/>
    </row>
    <row r="132" spans="1:5" ht="7.95" customHeight="1" x14ac:dyDescent="0.3"/>
    <row r="133" spans="1:5" ht="30" customHeight="1" x14ac:dyDescent="0.3">
      <c r="A133" s="24" t="s">
        <v>304</v>
      </c>
      <c r="B133" s="23"/>
      <c r="C133" s="23"/>
      <c r="D133" s="23"/>
      <c r="E133" s="23"/>
    </row>
    <row r="134" spans="1:5" ht="28.05" customHeight="1" x14ac:dyDescent="0.3">
      <c r="A134" s="12" t="s">
        <v>121</v>
      </c>
      <c r="B134" s="12" t="s">
        <v>122</v>
      </c>
      <c r="C134" s="12" t="s">
        <v>123</v>
      </c>
      <c r="D134" s="12" t="s">
        <v>124</v>
      </c>
      <c r="E134" s="12" t="s">
        <v>125</v>
      </c>
    </row>
    <row r="135" spans="1:5" ht="37.950000000000003" customHeight="1" x14ac:dyDescent="0.3">
      <c r="A135" s="12">
        <v>1</v>
      </c>
      <c r="B135" s="13" t="s">
        <v>305</v>
      </c>
      <c r="C135" s="5" t="s">
        <v>306</v>
      </c>
      <c r="D135" s="14"/>
      <c r="E135" s="15"/>
    </row>
    <row r="136" spans="1:5" ht="37.950000000000003" customHeight="1" x14ac:dyDescent="0.3">
      <c r="A136" s="12">
        <v>2</v>
      </c>
      <c r="B136" s="13" t="s">
        <v>307</v>
      </c>
      <c r="C136" s="16" t="s">
        <v>308</v>
      </c>
      <c r="D136" s="14"/>
      <c r="E136" s="15"/>
    </row>
    <row r="137" spans="1:5" ht="37.950000000000003" customHeight="1" x14ac:dyDescent="0.3">
      <c r="A137" s="12">
        <v>3</v>
      </c>
      <c r="B137" s="13" t="s">
        <v>309</v>
      </c>
      <c r="C137" s="5" t="s">
        <v>310</v>
      </c>
      <c r="D137" s="14"/>
      <c r="E137" s="15"/>
    </row>
    <row r="138" spans="1:5" ht="37.950000000000003" customHeight="1" x14ac:dyDescent="0.3">
      <c r="A138" s="12">
        <v>4</v>
      </c>
      <c r="B138" s="13" t="s">
        <v>311</v>
      </c>
      <c r="C138" s="16" t="s">
        <v>312</v>
      </c>
      <c r="D138" s="14"/>
      <c r="E138" s="15"/>
    </row>
    <row r="139" spans="1:5" ht="37.950000000000003" customHeight="1" x14ac:dyDescent="0.3">
      <c r="A139" s="12">
        <v>5</v>
      </c>
      <c r="B139" s="13" t="s">
        <v>313</v>
      </c>
      <c r="C139" s="5" t="s">
        <v>314</v>
      </c>
      <c r="D139" s="14"/>
      <c r="E139" s="15"/>
    </row>
    <row r="140" spans="1:5" ht="37.950000000000003" customHeight="1" x14ac:dyDescent="0.3">
      <c r="A140" s="12">
        <v>6</v>
      </c>
      <c r="B140" s="13" t="s">
        <v>315</v>
      </c>
      <c r="C140" s="16" t="s">
        <v>316</v>
      </c>
      <c r="D140" s="14"/>
      <c r="E140" s="15"/>
    </row>
    <row r="141" spans="1:5" ht="7.95" customHeight="1" x14ac:dyDescent="0.3"/>
    <row r="143" spans="1:5" ht="30" customHeight="1" x14ac:dyDescent="0.3">
      <c r="A143" s="26" t="s">
        <v>317</v>
      </c>
      <c r="B143" s="23"/>
      <c r="C143" s="23"/>
      <c r="D143" s="23"/>
      <c r="E143" s="23"/>
    </row>
    <row r="144" spans="1:5" ht="22.05" customHeight="1" x14ac:dyDescent="0.3">
      <c r="A144" s="17"/>
      <c r="B144" s="18" t="s">
        <v>318</v>
      </c>
      <c r="C144" s="18" t="s">
        <v>319</v>
      </c>
    </row>
    <row r="145" spans="1:3" ht="22.05" customHeight="1" x14ac:dyDescent="0.3">
      <c r="A145" s="19"/>
      <c r="B145" s="5" t="s">
        <v>320</v>
      </c>
      <c r="C145" s="5" t="s">
        <v>321</v>
      </c>
    </row>
    <row r="146" spans="1:3" ht="22.05" customHeight="1" x14ac:dyDescent="0.3">
      <c r="A146" s="17"/>
      <c r="B146" s="18" t="s">
        <v>322</v>
      </c>
      <c r="C146" s="18" t="s">
        <v>323</v>
      </c>
    </row>
    <row r="147" spans="1:3" ht="22.05" customHeight="1" x14ac:dyDescent="0.3">
      <c r="A147" s="19"/>
      <c r="B147" s="5" t="s">
        <v>324</v>
      </c>
      <c r="C147" s="5" t="s">
        <v>325</v>
      </c>
    </row>
    <row r="148" spans="1:3" ht="22.05" customHeight="1" x14ac:dyDescent="0.3">
      <c r="A148" s="17"/>
      <c r="B148" s="18" t="s">
        <v>326</v>
      </c>
      <c r="C148" s="18" t="s">
        <v>327</v>
      </c>
    </row>
    <row r="149" spans="1:3" ht="22.05" customHeight="1" x14ac:dyDescent="0.3">
      <c r="A149" s="19"/>
      <c r="B149" s="5" t="s">
        <v>328</v>
      </c>
      <c r="C149" s="5" t="s">
        <v>329</v>
      </c>
    </row>
    <row r="150" spans="1:3" ht="22.05" customHeight="1" x14ac:dyDescent="0.3">
      <c r="A150" s="17"/>
      <c r="B150" s="18" t="s">
        <v>330</v>
      </c>
      <c r="C150" s="18" t="s">
        <v>331</v>
      </c>
    </row>
    <row r="151" spans="1:3" ht="22.05" customHeight="1" x14ac:dyDescent="0.3">
      <c r="A151" s="20"/>
      <c r="B151" s="21" t="s">
        <v>332</v>
      </c>
      <c r="C151" s="21"/>
    </row>
  </sheetData>
  <mergeCells count="18">
    <mergeCell ref="A133:E133"/>
    <mergeCell ref="A61:E61"/>
    <mergeCell ref="A17:E17"/>
    <mergeCell ref="A50:E50"/>
    <mergeCell ref="A143:E143"/>
    <mergeCell ref="A124:E124"/>
    <mergeCell ref="A72:E72"/>
    <mergeCell ref="A81:E81"/>
    <mergeCell ref="A108:E108"/>
    <mergeCell ref="A1:E1"/>
    <mergeCell ref="A117:E117"/>
    <mergeCell ref="A9:E9"/>
    <mergeCell ref="A32:E32"/>
    <mergeCell ref="A24:E24"/>
    <mergeCell ref="A2:E2"/>
    <mergeCell ref="A42:E42"/>
    <mergeCell ref="A98:E98"/>
    <mergeCell ref="A90:E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Product_Master</vt:lpstr>
      <vt:lpstr>Salesperson_Info</vt:lpstr>
      <vt:lpstr>Monthly_Targets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onkesh dike</cp:lastModifiedBy>
  <dcterms:created xsi:type="dcterms:W3CDTF">2026-05-30T03:46:46Z</dcterms:created>
  <dcterms:modified xsi:type="dcterms:W3CDTF">2026-08-13T04:28:57Z</dcterms:modified>
</cp:coreProperties>
</file>